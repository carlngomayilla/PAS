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7694016b4b4e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se_Import" sheetId="1" r:id="R8daf19e7f3ef48fb"/>
    <x:sheet xmlns:r="http://schemas.openxmlformats.org/officeDocument/2006/relationships" name="Synthese" sheetId="2" r:id="R107660871f1f47c6"/>
    <x:sheet xmlns:r="http://schemas.openxmlformats.org/officeDocument/2006/relationships" name="Referentiel_Officiel" sheetId="3" r:id="R6c7d664e6ef745fe"/>
    <x:sheet xmlns:r="http://schemas.openxmlformats.org/officeDocument/2006/relationships" name="Nouveaux_Utilisateurs" sheetId="4" r:id="Rd5a81dadc5bb4ab3"/>
    <x:sheet xmlns:r="http://schemas.openxmlformats.org/officeDocument/2006/relationships" name="Lignes_Supprimees" sheetId="5" r:id="R131bb8c416e247e2"/>
    <x:sheet xmlns:r="http://schemas.openxmlformats.org/officeDocument/2006/relationships" name="Regles_MAJ" sheetId="6" r:id="Rf4dd9f44c3194267"/>
    <x:sheet xmlns:r="http://schemas.openxmlformats.org/officeDocument/2006/relationships" name="Source_Tracabilite" sheetId="7" r:id="R6d5318ea093e4f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5"/>
      <x:color rgb="FFFFFF"/>
      <x:name val="Carlito"/>
    </x:font>
    <x:font>
      <x:i/>
      <x:sz val="10"/>
      <x:color rgb="1C203D"/>
      <x:name val="Carlito"/>
    </x:font>
    <x:font>
      <x:b/>
      <x:sz val="10"/>
      <x:color rgb="FFFFFF"/>
      <x:name val="Carlito"/>
    </x:font>
    <x:font>
      <x:sz val="10"/>
      <x:color rgb="1C203D"/>
      <x:name val="Carlito"/>
    </x:font>
    <x:font>
      <x:b/>
      <x:sz val="10"/>
      <x:color rgb="7A4B00"/>
      <x:name val="Carlito"/>
    </x:font>
    <x:font>
      <x:b/>
      <x:sz val="10"/>
      <x:color rgb="1C203D"/>
      <x:name val="Carlito"/>
    </x:font>
    <x:font>
      <x:b/>
      <x:sz val="10"/>
      <x:color rgb="9C0006"/>
      <x:name val="Carlito"/>
    </x:font>
    <x:font>
      <x:b/>
      <x:sz val="11"/>
      <x:color rgb="FFFFFF"/>
      <x:name val="Carlito"/>
    </x:font>
    <x:font>
      <x:sz val="10"/>
      <x:name val="Carlito"/>
    </x:font>
    <x:font>
      <x:b/>
      <x:sz val="11"/>
      <x:color rgb="1C203D"/>
      <x:name val="Carlito"/>
    </x:font>
    <x:font>
      <x:b/>
      <x:sz val="12"/>
      <x:color rgb="1C203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3996D3"/>
      </x:patternFill>
    </x:fill>
    <x:fill>
      <x:patternFill patternType="solid">
        <x:fgColor rgb="EAF5FC"/>
      </x:patternFill>
    </x:fill>
    <x:fill>
      <x:patternFill patternType="solid">
        <x:fgColor rgb="1C203D"/>
      </x:patternFill>
    </x:fill>
    <x:fill>
      <x:patternFill patternType="solid">
        <x:fgColor rgb="FFF2CC"/>
      </x:patternFill>
    </x:fill>
    <x:fill>
      <x:patternFill patternType="solid">
        <x:fgColor rgb="DDEBF7"/>
      </x:patternFill>
    </x:fill>
    <x:fill>
      <x:patternFill patternType="solid">
        <x:fgColor rgb="FCE4D6"/>
      </x:patternFill>
    </x:fill>
  </x:fills>
  <x:borders count="2">
    <x:border/>
    <x:border/>
  </x:borders>
  <x:cellStyleXfs count="1">
    <x:xf numFmtId="0" fontId="0" fillId="0" borderId="0"/>
  </x:cellStyleXfs>
  <x:cellXfs count="8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horizontal="center"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center"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horizontal="center"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horizontal="center" vertical="top" wrapText="1"/>
    </x:xf>
    <x:xf numFmtId="0" fontId="6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horizontal="center" vertical="top" wrapText="1"/>
    </x:xf>
    <x:xf numFmtId="0" fontId="7" fillId="7" borderId="1" xfId="0" applyNumberFormat="1" applyFont="1" applyFill="1" applyBorder="1" applyAlignment="1">
      <x:alignment vertical="top" wrapText="1"/>
    </x:xf>
    <x:xf numFmtId="0" fontId="7" fillId="7" borderId="1" xfId="0" applyNumberFormat="1" applyFont="1" applyFill="1" applyBorder="1" applyAlignment="1">
      <x:alignment horizontal="center" vertical="top" wrapText="1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horizontal="center" wrapText="1"/>
    </x:xf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horizont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/>
    <x:xf numFmtId="0" fontId="9" fillId="0" borderId="1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horizontal="center"/>
    </x:xf>
    <x:xf numFmtId="0" fontId="8" fillId="4" borderId="1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1" fillId="3" borderId="0" xfId="0" applyNumberFormat="1" applyFont="1" applyFill="1" applyBorder="1"/>
    <x:xf numFmtId="0" fontId="11" fillId="3" borderId="0" xfId="0" applyNumberFormat="1" applyFont="1" applyFill="1" applyBorder="1" applyAlignment="1">
      <x:alignment horizontal="center"/>
    </x:xf>
    <x:xf numFmtId="0" fontId="11" fillId="3" borderId="1" xfId="0" applyNumberFormat="1" applyFont="1" applyFill="1" applyBorder="1"/>
    <x:xf numFmtId="0" fontId="11" fillId="3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4c00293e2342f7" /><Relationship Type="http://schemas.openxmlformats.org/officeDocument/2006/relationships/theme" Target="/xl/theme/theme1.xml" Id="R6d7d09f32cba4bbd" /><Relationship Type="http://schemas.openxmlformats.org/officeDocument/2006/relationships/sharedStrings" Target="/xl/sharedStrings.xml" Id="Rc569d7339e824756" /><Relationship Type="http://schemas.openxmlformats.org/officeDocument/2006/relationships/worksheet" Target="/xl/worksheets/sheet1.xml" Id="R8daf19e7f3ef48fb" /><Relationship Type="http://schemas.openxmlformats.org/officeDocument/2006/relationships/worksheet" Target="/xl/worksheets/sheet2.xml" Id="R107660871f1f47c6" /><Relationship Type="http://schemas.openxmlformats.org/officeDocument/2006/relationships/worksheet" Target="/xl/worksheets/sheet3.xml" Id="R6c7d664e6ef745fe" /><Relationship Type="http://schemas.openxmlformats.org/officeDocument/2006/relationships/worksheet" Target="/xl/worksheets/sheet4.xml" Id="Rd5a81dadc5bb4ab3" /><Relationship Type="http://schemas.openxmlformats.org/officeDocument/2006/relationships/worksheet" Target="/xl/worksheets/sheet5.xml" Id="R131bb8c416e247e2" /><Relationship Type="http://schemas.openxmlformats.org/officeDocument/2006/relationships/worksheet" Target="/xl/worksheets/sheet6.xml" Id="Rf4dd9f44c3194267" /><Relationship Type="http://schemas.openxmlformats.org/officeDocument/2006/relationships/worksheet" Target="/xl/worksheets/sheet7.xml" Id="R6d5318ea093e4f15" /></Relationships>
</file>

<file path=xl/tables/table1.xml><?xml version="1.0" encoding="utf-8"?>
<x:table xmlns:x="http://schemas.openxmlformats.org/spreadsheetml/2006/main" id="1" name="BaseImportUsers" displayName="BaseImportUsers" ref="A4:U88" headerRowCount="1">
  <x:tableColumns count="21">
    <x:tableColumn id="1" name="N° import"/>
    <x:tableColumn id="2" name="Ancienne ligne source"/>
    <x:tableColumn id="3" name="Nom complet"/>
    <x:tableColumn id="4" name="Email"/>
    <x:tableColumn id="5" name="Direction source"/>
    <x:tableColumn id="6" name="Service/code source"/>
    <x:tableColumn id="7" name="Fonction source"/>
    <x:tableColumn id="8" name="Rôle source"/>
    <x:tableColumn id="9" name="Direction officielle"/>
    <x:tableColumn id="10" name="Service / unité officielle"/>
    <x:tableColumn id="11" name="Est chef confirmé ?"/>
    <x:tableColumn id="12" name="Type de chef"/>
    <x:tableColumn id="13" name="Rôle applicatif corrigé"/>
    <x:tableColumn id="14" name="Slug rôle import"/>
    <x:tableColumn id="15" name="Type d'interface"/>
    <x:tableColumn id="16" name="Vue globale / périmètre"/>
    <x:tableColumn id="17" name="Exécute ses propres actions"/>
    <x:tableColumn id="18" name="Statut migration"/>
    <x:tableColumn id="19" name="Importable ?"/>
    <x:tableColumn id="20" name="Observation / règle appliquée"/>
    <x:tableColumn id="21" name="Action à faire"/>
  </x:tableColumns>
  <x:tableStyleInfo name="TableStyleMedium2" showRowStripes="1"/>
</x:table>
</file>

<file path=xl/tables/table2.xml><?xml version="1.0" encoding="utf-8"?>
<x:table xmlns:x="http://schemas.openxmlformats.org/spreadsheetml/2006/main" id="2" name="ReferentielOfficiel" displayName="ReferentielOfficiel" ref="A4:H19" headerRowCount="1">
  <x:tableColumns count="8">
    <x:tableColumn id="1" name="Direction officielle"/>
    <x:tableColumn id="2" name="Service / unité"/>
    <x:tableColumn id="3" name="Type"/>
    <x:tableColumn id="4" name="Rôle chef"/>
    <x:tableColumn id="5" name="Rôle agent"/>
    <x:tableColumn id="6" name="Double interface"/>
    <x:tableColumn id="7" name="Vue globale"/>
    <x:tableColumn id="8" name="Observation"/>
  </x:tableColumns>
  <x:tableStyleInfo name="TableStyleMedium2" showRowStripes="1"/>
</x:table>
</file>

<file path=xl/tables/table3.xml><?xml version="1.0" encoding="utf-8"?>
<x:table xmlns:x="http://schemas.openxmlformats.org/spreadsheetml/2006/main" id="3" name="NouveauxUtilisateurs" displayName="NouveauxUtilisateurs" ref="A4:J104" headerRowCount="1">
  <x:tableColumns count="10">
    <x:tableColumn id="1" name="Nom complet"/>
    <x:tableColumn id="2" name="Email"/>
    <x:tableColumn id="3" name="Direction officielle"/>
    <x:tableColumn id="4" name="Service / unité"/>
    <x:tableColumn id="5" name="Fonction"/>
    <x:tableColumn id="6" name="Est chef confirmé ?"/>
    <x:tableColumn id="7" name="Rôle applicatif"/>
    <x:tableColumn id="8" name="Slug rôle"/>
    <x:tableColumn id="9" name="Importable ?"/>
    <x:tableColumn id="10" name="Observation"/>
  </x:tableColumns>
  <x:tableStyleInfo name="TableStyleMedium2" showRowStripes="1"/>
</x:table>
</file>

<file path=xl/tables/table4.xml><?xml version="1.0" encoding="utf-8"?>
<x:table xmlns:x="http://schemas.openxmlformats.org/spreadsheetml/2006/main" id="4" name="LignesSupprimees" displayName="LignesSupprimees" ref="A4:D6" headerRowCount="1">
  <x:tableColumns count="4">
    <x:tableColumn id="1" name="Ancienne ligne source"/>
    <x:tableColumn id="2" name="Nom complet"/>
    <x:tableColumn id="3" name="Email"/>
    <x:tableColumn id="4" name="Motif suppression"/>
  </x:tableColumns>
  <x:tableStyleInfo name="TableStyleMedium2" showRowStripes="1"/>
</x:table>
</file>

<file path=xl/tables/table5.xml><?xml version="1.0" encoding="utf-8"?>
<x:table xmlns:x="http://schemas.openxmlformats.org/spreadsheetml/2006/main" id="5" name="ReglesMAJ" displayName="ReglesMAJ" ref="A4:E13" headerRowCount="1">
  <x:tableColumns count="5">
    <x:tableColumn id="1" name="Point corrigé"/>
    <x:tableColumn id="2" name="Ancienne situation"/>
    <x:tableColumn id="3" name="Nouvelle règle appliquée"/>
    <x:tableColumn id="4" name="Impact dans le fichier"/>
    <x:tableColumn id="5" name="Contrôle"/>
  </x:tableColumns>
  <x:tableStyleInfo name="TableStyleMedium2" showRowStripes="1"/>
</x:table>
</file>

<file path=xl/tables/table6.xml><?xml version="1.0" encoding="utf-8"?>
<x:table xmlns:x="http://schemas.openxmlformats.org/spreadsheetml/2006/main" id="6" name="SourcesTrace" displayName="SourcesTrace" ref="A4:C9" headerRowCount="1">
  <x:tableColumns count="3">
    <x:tableColumn id="1" name="Type"/>
    <x:tableColumn id="2" name="Source"/>
    <x:tableColumn id="3" name="Utilisa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073a9a68cc4a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f38da96ed64d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48d192f29a4c5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d9c2f1399e8400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7c8fe94ee4345a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d0ee9c29ee8425b" /></Relationships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4" hidden="0" customWidth="1"/>
    <x:col min="3" max="3" width="30" hidden="0" customWidth="1"/>
    <x:col min="4" max="4" width="30" hidden="0" customWidth="1"/>
    <x:col min="5" max="5" width="14" hidden="0" customWidth="1"/>
    <x:col min="6" max="6" width="18" hidden="0" customWidth="1"/>
    <x:col min="7" max="7" width="32" hidden="0" customWidth="1"/>
    <x:col min="8" max="8" width="14" hidden="0" customWidth="1"/>
    <x:col min="9" max="9" width="20" hidden="0" customWidth="1"/>
    <x:col min="10" max="10" width="22" hidden="0" customWidth="1"/>
    <x:col min="11" max="11" width="14" hidden="0" customWidth="1"/>
    <x:col min="12" max="12" width="20" hidden="0" customWidth="1"/>
    <x:col min="13" max="13" width="20" hidden="0" customWidth="1"/>
    <x:col min="14" max="14" width="18" hidden="0" customWidth="1"/>
    <x:col min="15" max="15" width="28" hidden="0" customWidth="1"/>
    <x:col min="16" max="16" width="26" hidden="0" customWidth="1"/>
    <x:col min="17" max="17" width="18" hidden="0" customWidth="1"/>
    <x:col min="18" max="18" width="18" hidden="0" customWidth="1"/>
    <x:col min="19" max="19" width="12" hidden="0" customWidth="1"/>
    <x:col min="20" max="20" width="45" hidden="0" customWidth="1"/>
    <x:col min="21" max="21" width="36" hidden="0" customWidth="1"/>
  </x:cols>
  <x:sheetData>
    <x:row r="1" ht="28" customHeight="1">
      <x:c r="A1" s="5" t="str">
        <x:v>BASE UTILISATEURS PAS ANBG — STRUCTURE REFAITE SELON LA NOUVELLE LOGIQUE</x:v>
      </x:c>
    </x:row>
    <x:row r="2" ht="28" customHeight="1">
      <x:c r="A2" s="14" t="str">
        <x:v>Corrections appliquées : lignes 3 à 7 rattachées au Cabinet du DG / UCAS ; lignes source 46 et 51 supprimées ; seuls les utilisateurs dont la fonction/observation mentionne explicitement chef/responsable sont chefs de service ou d’unité.</x:v>
      </x:c>
    </x:row>
    <x:row r="4" ht="34" customHeight="1">
      <x:c r="A4" s="24" t="str">
        <x:v>N° import</x:v>
      </x:c>
      <x:c r="B4" s="24" t="str">
        <x:v>Ancienne ligne source</x:v>
      </x:c>
      <x:c r="C4" s="24" t="str">
        <x:v>Nom complet</x:v>
      </x:c>
      <x:c r="D4" s="24" t="str">
        <x:v>Email</x:v>
      </x:c>
      <x:c r="E4" s="24" t="str">
        <x:v>Direction source</x:v>
      </x:c>
      <x:c r="F4" s="24" t="str">
        <x:v>Service/code source</x:v>
      </x:c>
      <x:c r="G4" s="24" t="str">
        <x:v>Fonction source</x:v>
      </x:c>
      <x:c r="H4" s="24" t="str">
        <x:v>Rôle source</x:v>
      </x:c>
      <x:c r="I4" s="24" t="str">
        <x:v>Direction officielle</x:v>
      </x:c>
      <x:c r="J4" s="24" t="str">
        <x:v>Service / unité officielle</x:v>
      </x:c>
      <x:c r="K4" s="24" t="str">
        <x:v>Est chef confirmé ?</x:v>
      </x:c>
      <x:c r="L4" s="24" t="str">
        <x:v>Type de chef</x:v>
      </x:c>
      <x:c r="M4" s="24" t="str">
        <x:v>Rôle applicatif corrigé</x:v>
      </x:c>
      <x:c r="N4" s="24" t="str">
        <x:v>Slug rôle import</x:v>
      </x:c>
      <x:c r="O4" s="24" t="str">
        <x:v>Type d'interface</x:v>
      </x:c>
      <x:c r="P4" s="24" t="str">
        <x:v>Vue globale / périmètre</x:v>
      </x:c>
      <x:c r="Q4" s="24" t="str">
        <x:v>Exécute ses propres actions</x:v>
      </x:c>
      <x:c r="R4" s="24" t="str">
        <x:v>Statut migration</x:v>
      </x:c>
      <x:c r="S4" s="24" t="str">
        <x:v>Importable ?</x:v>
      </x:c>
      <x:c r="T4" s="24" t="str">
        <x:v>Observation / règle appliquée</x:v>
      </x:c>
      <x:c r="U4" s="24" t="str">
        <x:v>Action à faire</x:v>
      </x:c>
    </x:row>
    <x:row r="5">
      <x:c r="A5" s="36" t="n">
        <x:v>1</x:v>
      </x:c>
      <x:c r="B5" s="36" t="n">
        <x:v>1</x:v>
      </x:c>
      <x:c r="C5" s="32" t="str">
        <x:v>Administrateur ANBG</x:v>
      </x:c>
      <x:c r="D5" s="32" t="str">
        <x:v>admin@anbg.ga</x:v>
      </x:c>
      <x:c r="E5" s="32" t="str"/>
      <x:c r="F5" s="32" t="str"/>
      <x:c r="G5" s="32" t="str">
        <x:v>Administrateur de l'application</x:v>
      </x:c>
      <x:c r="H5" s="32" t="str">
        <x:v>admin</x:v>
      </x:c>
      <x:c r="I5" s="32" t="str">
        <x:v>Système</x:v>
      </x:c>
      <x:c r="J5" s="32" t="str">
        <x:v>Administration</x:v>
      </x:c>
      <x:c r="K5" s="36" t="str">
        <x:v>Non</x:v>
      </x:c>
      <x:c r="L5" s="32" t="str"/>
      <x:c r="M5" s="32" t="str">
        <x:v>admin</x:v>
      </x:c>
      <x:c r="N5" s="32" t="str">
        <x:v>admin</x:v>
      </x:c>
      <x:c r="O5" s="32" t="str">
        <x:v>Administration</x:v>
      </x:c>
      <x:c r="P5" s="32" t="str">
        <x:v>Globale</x:v>
      </x:c>
      <x:c r="Q5" s="32" t="str">
        <x:v>Non</x:v>
      </x:c>
      <x:c r="R5" s="32" t="str">
        <x:v>Valide - compte système</x:v>
      </x:c>
      <x:c r="S5" s="36" t="str">
        <x:v>Oui</x:v>
      </x:c>
      <x:c r="T5" s="32" t="str">
        <x:v>Compte technique non rattaché à une direction métier.</x:v>
      </x:c>
      <x:c r="U5" s="32" t="str">
        <x:v>Prêt pour import</x:v>
      </x:c>
    </x:row>
    <x:row r="6">
      <x:c r="A6" s="36" t="n">
        <x:v>2</x:v>
      </x:c>
      <x:c r="B6" s="36" t="n">
        <x:v>2</x:v>
      </x:c>
      <x:c r="C6" s="32" t="str">
        <x:v>Super Administrateur PAS</x:v>
      </x:c>
      <x:c r="D6" s="32" t="str">
        <x:v>superadmin@anbg.ga</x:v>
      </x:c>
      <x:c r="E6" s="32" t="str"/>
      <x:c r="F6" s="32" t="str"/>
      <x:c r="G6" s="32" t="str">
        <x:v>Super Administrateur / paramétrage global</x:v>
      </x:c>
      <x:c r="H6" s="32" t="str">
        <x:v>super_admin</x:v>
      </x:c>
      <x:c r="I6" s="32" t="str">
        <x:v>Système</x:v>
      </x:c>
      <x:c r="J6" s="32" t="str">
        <x:v>Administration</x:v>
      </x:c>
      <x:c r="K6" s="36" t="str">
        <x:v>Non</x:v>
      </x:c>
      <x:c r="L6" s="32" t="str"/>
      <x:c r="M6" s="32" t="str">
        <x:v>super admin</x:v>
      </x:c>
      <x:c r="N6" s="32" t="str">
        <x:v>super_admin</x:v>
      </x:c>
      <x:c r="O6" s="32" t="str">
        <x:v>Administration totale</x:v>
      </x:c>
      <x:c r="P6" s="32" t="str">
        <x:v>Globale</x:v>
      </x:c>
      <x:c r="Q6" s="32" t="str">
        <x:v>Non</x:v>
      </x:c>
      <x:c r="R6" s="32" t="str">
        <x:v>Valide - compte système</x:v>
      </x:c>
      <x:c r="S6" s="36" t="str">
        <x:v>Oui</x:v>
      </x:c>
      <x:c r="T6" s="32" t="str">
        <x:v>Compte technique de paramétrage global.</x:v>
      </x:c>
      <x:c r="U6" s="32" t="str">
        <x:v>Prêt pour import</x:v>
      </x:c>
    </x:row>
    <x:row r="7">
      <x:c r="A7" s="36" t="n">
        <x:v>3</x:v>
      </x:c>
      <x:c r="B7" s="36" t="n">
        <x:v>3</x:v>
      </x:c>
      <x:c r="C7" s="32" t="str">
        <x:v>MBAZOGO NGUEMA Suzy</x:v>
      </x:c>
      <x:c r="D7" s="32" t="str">
        <x:v>suzy.mbazogo@anbg.ga</x:v>
      </x:c>
      <x:c r="E7" s="32" t="str">
        <x:v>UCAS</x:v>
      </x:c>
      <x:c r="F7" s="32" t="str">
        <x:v>UCAS</x:v>
      </x:c>
      <x:c r="G7" s="32" t="str">
        <x:v>Responsable UCAS</x:v>
      </x:c>
      <x:c r="H7" s="32" t="str">
        <x:v>direction</x:v>
      </x:c>
      <x:c r="I7" s="48" t="str">
        <x:v>Cabinet du DG</x:v>
      </x:c>
      <x:c r="J7" s="49" t="str">
        <x:v>UCAS</x:v>
      </x:c>
      <x:c r="K7" s="41" t="str">
        <x:v>Oui</x:v>
      </x:c>
      <x:c r="L7" s="32" t="str">
        <x:v>Chef d’unité Cabinet</x:v>
      </x:c>
      <x:c r="M7" s="32" t="str">
        <x:v>chef unité</x:v>
      </x:c>
      <x:c r="N7" s="32" t="str">
        <x:v>chef_unite</x:v>
      </x:c>
      <x:c r="O7" s="32" t="str">
        <x:v>Pilotage service/unité + opérationnel</x:v>
      </x:c>
      <x:c r="P7" s="32" t="str">
        <x:v>Périmètre service/unité</x:v>
      </x:c>
      <x:c r="Q7" s="32" t="str">
        <x:v>Oui</x:v>
      </x:c>
      <x:c r="R7" s="32" t="str">
        <x:v>Prêt pour import</x:v>
      </x:c>
      <x:c r="S7" s="36" t="str">
        <x:v>Oui</x:v>
      </x:c>
      <x:c r="T7" s="32" t="str">
        <x:v>Chef confirmé car la fonction/observation source mentionne explicitement chef ou responsable UCAS.</x:v>
      </x:c>
      <x:c r="U7" s="32" t="str">
        <x:v>Prêt pour import</x:v>
      </x:c>
    </x:row>
    <x:row r="8">
      <x:c r="A8" s="36" t="n">
        <x:v>4</x:v>
      </x:c>
      <x:c r="B8" s="36" t="n">
        <x:v>4</x:v>
      </x:c>
      <x:c r="C8" s="32" t="str">
        <x:v>LEKOSSO Ismene</x:v>
      </x:c>
      <x:c r="D8" s="32" t="str">
        <x:v>ismene.lekosso@anbg.ga</x:v>
      </x:c>
      <x:c r="E8" s="32" t="str">
        <x:v>UCAS</x:v>
      </x:c>
      <x:c r="F8" s="32" t="str">
        <x:v>ACCUEIL</x:v>
      </x:c>
      <x:c r="G8" s="32" t="str">
        <x:v>Agent</x:v>
      </x:c>
      <x:c r="H8" s="32" t="str">
        <x:v>agent</x:v>
      </x:c>
      <x:c r="I8" s="48" t="str">
        <x:v>Cabinet du DG</x:v>
      </x:c>
      <x:c r="J8" s="48" t="str">
        <x:v>UCAS</x:v>
      </x:c>
      <x:c r="K8" s="36" t="str">
        <x:v>Non</x:v>
      </x:c>
      <x:c r="L8" s="32" t="str"/>
      <x:c r="M8" s="32" t="str">
        <x:v>UCAS</x:v>
      </x:c>
      <x:c r="N8" s="32" t="str">
        <x:v>ucas</x:v>
      </x:c>
      <x:c r="O8" s="32" t="str">
        <x:v>Opérationnelle simple</x:v>
      </x:c>
      <x:c r="P8" s="32" t="str">
        <x:v>Périmètre propre</x:v>
      </x:c>
      <x:c r="Q8" s="32" t="str">
        <x:v>Oui</x:v>
      </x:c>
      <x:c r="R8" s="32" t="str">
        <x:v>Prêt pour import</x:v>
      </x:c>
      <x:c r="S8" s="36" t="str">
        <x:v>Oui</x:v>
      </x:c>
      <x:c r="T8" s="32" t="str">
        <x:v>UCAS reste opérationnel simple, sans double interface globale.</x:v>
      </x:c>
      <x:c r="U8" s="32" t="str">
        <x:v>Prêt pour import</x:v>
      </x:c>
    </x:row>
    <x:row r="9">
      <x:c r="A9" s="36" t="n">
        <x:v>5</x:v>
      </x:c>
      <x:c r="B9" s="36" t="n">
        <x:v>5</x:v>
      </x:c>
      <x:c r="C9" s="32" t="str">
        <x:v>MATSOMBI DOGUI Reine</x:v>
      </x:c>
      <x:c r="D9" s="32" t="str">
        <x:v>reine.matsombi@anbg.ga</x:v>
      </x:c>
      <x:c r="E9" s="32" t="str">
        <x:v>UCAS</x:v>
      </x:c>
      <x:c r="F9" s="32" t="str">
        <x:v>ACCUEIL</x:v>
      </x:c>
      <x:c r="G9" s="32" t="str">
        <x:v>Agent</x:v>
      </x:c>
      <x:c r="H9" s="32" t="str">
        <x:v>agent</x:v>
      </x:c>
      <x:c r="I9" s="48" t="str">
        <x:v>Cabinet du DG</x:v>
      </x:c>
      <x:c r="J9" s="48" t="str">
        <x:v>UCAS</x:v>
      </x:c>
      <x:c r="K9" s="36" t="str">
        <x:v>Non</x:v>
      </x:c>
      <x:c r="L9" s="32" t="str"/>
      <x:c r="M9" s="32" t="str">
        <x:v>UCAS</x:v>
      </x:c>
      <x:c r="N9" s="32" t="str">
        <x:v>ucas</x:v>
      </x:c>
      <x:c r="O9" s="32" t="str">
        <x:v>Opérationnelle simple</x:v>
      </x:c>
      <x:c r="P9" s="32" t="str">
        <x:v>Périmètre propre</x:v>
      </x:c>
      <x:c r="Q9" s="32" t="str">
        <x:v>Oui</x:v>
      </x:c>
      <x:c r="R9" s="32" t="str">
        <x:v>Prêt pour import</x:v>
      </x:c>
      <x:c r="S9" s="36" t="str">
        <x:v>Oui</x:v>
      </x:c>
      <x:c r="T9" s="32" t="str">
        <x:v>UCAS reste opérationnel simple, sans double interface globale.</x:v>
      </x:c>
      <x:c r="U9" s="32" t="str">
        <x:v>Prêt pour import</x:v>
      </x:c>
    </x:row>
    <x:row r="10">
      <x:c r="A10" s="36" t="n">
        <x:v>6</x:v>
      </x:c>
      <x:c r="B10" s="36" t="n">
        <x:v>6</x:v>
      </x:c>
      <x:c r="C10" s="32" t="str">
        <x:v>MOUKAMBOU Guy Vincent</x:v>
      </x:c>
      <x:c r="D10" s="32" t="str">
        <x:v>guy.moukambou@anbg.ga</x:v>
      </x:c>
      <x:c r="E10" s="32" t="str">
        <x:v>UCAS</x:v>
      </x:c>
      <x:c r="F10" s="32" t="str">
        <x:v>ACCUEIL</x:v>
      </x:c>
      <x:c r="G10" s="32" t="str">
        <x:v>Agent</x:v>
      </x:c>
      <x:c r="H10" s="32" t="str">
        <x:v>agent</x:v>
      </x:c>
      <x:c r="I10" s="48" t="str">
        <x:v>Cabinet du DG</x:v>
      </x:c>
      <x:c r="J10" s="48" t="str">
        <x:v>UCAS</x:v>
      </x:c>
      <x:c r="K10" s="36" t="str">
        <x:v>Non</x:v>
      </x:c>
      <x:c r="L10" s="32" t="str"/>
      <x:c r="M10" s="32" t="str">
        <x:v>UCAS</x:v>
      </x:c>
      <x:c r="N10" s="32" t="str">
        <x:v>ucas</x:v>
      </x:c>
      <x:c r="O10" s="32" t="str">
        <x:v>Opérationnelle simple</x:v>
      </x:c>
      <x:c r="P10" s="32" t="str">
        <x:v>Périmètre propre</x:v>
      </x:c>
      <x:c r="Q10" s="32" t="str">
        <x:v>Oui</x:v>
      </x:c>
      <x:c r="R10" s="32" t="str">
        <x:v>Prêt pour import</x:v>
      </x:c>
      <x:c r="S10" s="36" t="str">
        <x:v>Oui</x:v>
      </x:c>
      <x:c r="T10" s="32" t="str">
        <x:v>UCAS reste opérationnel simple, sans double interface globale.</x:v>
      </x:c>
      <x:c r="U10" s="32" t="str">
        <x:v>Prêt pour import</x:v>
      </x:c>
    </x:row>
    <x:row r="11">
      <x:c r="A11" s="36" t="n">
        <x:v>7</x:v>
      </x:c>
      <x:c r="B11" s="36" t="n">
        <x:v>7</x:v>
      </x:c>
      <x:c r="C11" s="32" t="str">
        <x:v>OKOUMA Miguelle</x:v>
      </x:c>
      <x:c r="D11" s="32" t="str">
        <x:v>miguelle.okouma@anbg.ga</x:v>
      </x:c>
      <x:c r="E11" s="32" t="str">
        <x:v>UCAS</x:v>
      </x:c>
      <x:c r="F11" s="32" t="str">
        <x:v>ACCUEIL</x:v>
      </x:c>
      <x:c r="G11" s="32" t="str">
        <x:v>Agent</x:v>
      </x:c>
      <x:c r="H11" s="32" t="str">
        <x:v>agent</x:v>
      </x:c>
      <x:c r="I11" s="48" t="str">
        <x:v>Cabinet du DG</x:v>
      </x:c>
      <x:c r="J11" s="48" t="str">
        <x:v>UCAS</x:v>
      </x:c>
      <x:c r="K11" s="36" t="str">
        <x:v>Non</x:v>
      </x:c>
      <x:c r="L11" s="32" t="str"/>
      <x:c r="M11" s="32" t="str">
        <x:v>UCAS</x:v>
      </x:c>
      <x:c r="N11" s="32" t="str">
        <x:v>ucas</x:v>
      </x:c>
      <x:c r="O11" s="32" t="str">
        <x:v>Opérationnelle simple</x:v>
      </x:c>
      <x:c r="P11" s="32" t="str">
        <x:v>Périmètre propre</x:v>
      </x:c>
      <x:c r="Q11" s="32" t="str">
        <x:v>Oui</x:v>
      </x:c>
      <x:c r="R11" s="32" t="str">
        <x:v>Prêt pour import</x:v>
      </x:c>
      <x:c r="S11" s="36" t="str">
        <x:v>Oui</x:v>
      </x:c>
      <x:c r="T11" s="32" t="str">
        <x:v>UCAS reste opérationnel simple, sans double interface globale.</x:v>
      </x:c>
      <x:c r="U11" s="32" t="str">
        <x:v>Prêt pour import</x:v>
      </x:c>
    </x:row>
    <x:row r="12">
      <x:c r="A12" s="36" t="n">
        <x:v>8</x:v>
      </x:c>
      <x:c r="B12" s="36" t="n">
        <x:v>8</x:v>
      </x:c>
      <x:c r="C12" s="32" t="str">
        <x:v>Directeur DAF</x:v>
      </x:c>
      <x:c r="D12" s="32" t="str">
        <x:v>directeur.daf@anbg.ga</x:v>
      </x:c>
      <x:c r="E12" s="32" t="str">
        <x:v>DAF</x:v>
      </x:c>
      <x:c r="F12" s="32" t="str">
        <x:v>DIRECTION</x:v>
      </x:c>
      <x:c r="G12" s="32" t="str">
        <x:v>Directeur Administratif et Financier</x:v>
      </x:c>
      <x:c r="H12" s="32" t="str">
        <x:v>direction</x:v>
      </x:c>
      <x:c r="I12" s="32" t="str">
        <x:v>DAF</x:v>
      </x:c>
      <x:c r="J12" s="32" t="str">
        <x:v>DIRECTION</x:v>
      </x:c>
      <x:c r="K12" s="36" t="str">
        <x:v>Non</x:v>
      </x:c>
      <x:c r="L12" s="32" t="str"/>
      <x:c r="M12" s="32" t="str">
        <x:v>directeur</x:v>
      </x:c>
      <x:c r="N12" s="32" t="str">
        <x:v>directeur</x:v>
      </x:c>
      <x:c r="O12" s="32" t="str">
        <x:v>Pilotage direction + opérationnel</x:v>
      </x:c>
      <x:c r="P12" s="32" t="str">
        <x:v>Direction</x:v>
      </x:c>
      <x:c r="Q12" s="32" t="str">
        <x:v>Oui</x:v>
      </x:c>
      <x:c r="R12" s="32" t="str">
        <x:v>Prêt pour import</x:v>
      </x:c>
      <x:c r="S12" s="36" t="str">
        <x:v>Oui</x:v>
      </x:c>
      <x:c r="T12" s="32" t="str">
        <x:v>Responsable de niveau direction / DG selon la fonction source.</x:v>
      </x:c>
      <x:c r="U12" s="32" t="str">
        <x:v>Prêt pour import</x:v>
      </x:c>
    </x:row>
    <x:row r="13">
      <x:c r="A13" s="36" t="n">
        <x:v>9</x:v>
      </x:c>
      <x:c r="B13" s="36" t="n">
        <x:v>9</x:v>
      </x:c>
      <x:c r="C13" s="32" t="str">
        <x:v>INDENGUELA Aldrich</x:v>
      </x:c>
      <x:c r="D13" s="32" t="str">
        <x:v>aldrich.indenguela@anbg.ga</x:v>
      </x:c>
      <x:c r="E13" s="32" t="str">
        <x:v>DAF</x:v>
      </x:c>
      <x:c r="F13" s="32" t="str">
        <x:v>AJARH</x:v>
      </x:c>
      <x:c r="G13" s="32" t="str">
        <x:v>Assistant juridique</x:v>
      </x:c>
      <x:c r="H13" s="32" t="str">
        <x:v>agent</x:v>
      </x:c>
      <x:c r="I13" s="32" t="str">
        <x:v>DAF</x:v>
      </x:c>
      <x:c r="J13" s="32" t="str">
        <x:v>AJARH</x:v>
      </x:c>
      <x:c r="K13" s="36" t="str">
        <x:v>Non</x:v>
      </x:c>
      <x:c r="L13" s="32" t="str"/>
      <x:c r="M13" s="32" t="str">
        <x:v>agent</x:v>
      </x:c>
      <x:c r="N13" s="32" t="str">
        <x:v>agent</x:v>
      </x:c>
      <x:c r="O13" s="32" t="str">
        <x:v>Opérationnelle</x:v>
      </x:c>
      <x:c r="P13" s="32" t="str">
        <x:v>Périmètre propre</x:v>
      </x:c>
      <x:c r="Q13" s="32" t="str">
        <x:v>Oui</x:v>
      </x:c>
      <x:c r="R13" s="32" t="str">
        <x:v>Prêt pour import</x:v>
      </x:c>
      <x:c r="S13" s="36" t="str">
        <x:v>Oui</x:v>
      </x:c>
      <x:c r="T13" s="32" t="str">
        <x:v>Agent opérationnel.</x:v>
      </x:c>
      <x:c r="U13" s="32" t="str">
        <x:v>Prêt pour import</x:v>
      </x:c>
    </x:row>
    <x:row r="14">
      <x:c r="A14" s="36" t="n">
        <x:v>10</x:v>
      </x:c>
      <x:c r="B14" s="36" t="n">
        <x:v>10</x:v>
      </x:c>
      <x:c r="C14" s="32" t="str">
        <x:v>ENGONE Charles</x:v>
      </x:c>
      <x:c r="D14" s="32" t="str">
        <x:v>charles.engone@anbg.ga</x:v>
      </x:c>
      <x:c r="E14" s="32" t="str">
        <x:v>DAF</x:v>
      </x:c>
      <x:c r="F14" s="32" t="str">
        <x:v>AJARH</x:v>
      </x:c>
      <x:c r="G14" s="32" t="str">
        <x:v>Responsable RH</x:v>
      </x:c>
      <x:c r="H14" s="32" t="str">
        <x:v>service</x:v>
      </x:c>
      <x:c r="I14" s="32" t="str">
        <x:v>DAF</x:v>
      </x:c>
      <x:c r="J14" s="32" t="str">
        <x:v>AJARH</x:v>
      </x:c>
      <x:c r="K14" s="36" t="str">
        <x:v>Non</x:v>
      </x:c>
      <x:c r="L14" s="32" t="str"/>
      <x:c r="M14" s="32" t="str">
        <x:v>agent</x:v>
      </x:c>
      <x:c r="N14" s="32" t="str">
        <x:v>agent</x:v>
      </x:c>
      <x:c r="O14" s="32" t="str">
        <x:v>Opérationnelle</x:v>
      </x:c>
      <x:c r="P14" s="32" t="str">
        <x:v>Périmètre propre</x:v>
      </x:c>
      <x:c r="Q14" s="32" t="str">
        <x:v>Oui</x:v>
      </x:c>
      <x:c r="R14" s="32" t="str">
        <x:v>Prêt pour import</x:v>
      </x:c>
      <x:c r="S14" s="36" t="str">
        <x:v>Oui</x:v>
      </x:c>
      <x:c r="T14" s="32" t="str">
        <x:v>Rôle source 'service' conservé comme information source, mais pas transformé en chef : la fonction ne mentionne pas chef de service/unité.</x:v>
      </x:c>
      <x:c r="U14" s="32" t="str">
        <x:v>Prêt pour import</x:v>
      </x:c>
    </x:row>
    <x:row r="15">
      <x:c r="A15" s="36" t="n">
        <x:v>11</x:v>
      </x:c>
      <x:c r="B15" s="36" t="n">
        <x:v>11</x:v>
      </x:c>
      <x:c r="C15" s="32" t="str">
        <x:v>MATTEYA Aicha</x:v>
      </x:c>
      <x:c r="D15" s="32" t="str">
        <x:v>aicha.matteya@anbg.ga</x:v>
      </x:c>
      <x:c r="E15" s="32" t="str">
        <x:v>DAF</x:v>
      </x:c>
      <x:c r="F15" s="32" t="str">
        <x:v>AJARH</x:v>
      </x:c>
      <x:c r="G15" s="32" t="str">
        <x:v>Chef service</x:v>
      </x:c>
      <x:c r="H15" s="32" t="str">
        <x:v>service</x:v>
      </x:c>
      <x:c r="I15" s="32" t="str">
        <x:v>DAF</x:v>
      </x:c>
      <x:c r="J15" s="41" t="str">
        <x:v>AJARH</x:v>
      </x:c>
      <x:c r="K15" s="41" t="str">
        <x:v>Oui</x:v>
      </x:c>
      <x:c r="L15" s="32" t="str">
        <x:v>Chef de service</x:v>
      </x:c>
      <x:c r="M15" s="32" t="str">
        <x:v>chef de service</x:v>
      </x:c>
      <x:c r="N15" s="32" t="str">
        <x:v>chef_service</x:v>
      </x:c>
      <x:c r="O15" s="32" t="str">
        <x:v>Pilotage service/unité + opérationnel</x:v>
      </x:c>
      <x:c r="P15" s="32" t="str">
        <x:v>Périmètre service/unité</x:v>
      </x:c>
      <x:c r="Q15" s="32" t="str">
        <x:v>Oui</x:v>
      </x:c>
      <x:c r="R15" s="32" t="str">
        <x:v>Prêt pour import</x:v>
      </x:c>
      <x:c r="S15" s="36" t="str">
        <x:v>Oui</x:v>
      </x:c>
      <x:c r="T15" s="32" t="str">
        <x:v>Chef confirmé car la fonction/observation source mentionne explicitement chef ou responsable UCAS.</x:v>
      </x:c>
      <x:c r="U15" s="32" t="str">
        <x:v>Prêt pour import</x:v>
      </x:c>
    </x:row>
    <x:row r="16">
      <x:c r="A16" s="36" t="n">
        <x:v>12</x:v>
      </x:c>
      <x:c r="B16" s="36" t="n">
        <x:v>12</x:v>
      </x:c>
      <x:c r="C16" s="32" t="str">
        <x:v>NGOMBI Charlaine</x:v>
      </x:c>
      <x:c r="D16" s="32" t="str">
        <x:v>charlaine.ngombi@anbg.ga</x:v>
      </x:c>
      <x:c r="E16" s="32" t="str">
        <x:v>DAF</x:v>
      </x:c>
      <x:c r="F16" s="32" t="str">
        <x:v>AJARH</x:v>
      </x:c>
      <x:c r="G16" s="32" t="str">
        <x:v>Responsable juridique</x:v>
      </x:c>
      <x:c r="H16" s="32" t="str">
        <x:v>service</x:v>
      </x:c>
      <x:c r="I16" s="32" t="str">
        <x:v>DAF</x:v>
      </x:c>
      <x:c r="J16" s="32" t="str">
        <x:v>AJARH</x:v>
      </x:c>
      <x:c r="K16" s="36" t="str">
        <x:v>Non</x:v>
      </x:c>
      <x:c r="L16" s="32" t="str"/>
      <x:c r="M16" s="32" t="str">
        <x:v>agent</x:v>
      </x:c>
      <x:c r="N16" s="32" t="str">
        <x:v>agent</x:v>
      </x:c>
      <x:c r="O16" s="32" t="str">
        <x:v>Opérationnelle</x:v>
      </x:c>
      <x:c r="P16" s="32" t="str">
        <x:v>Périmètre propre</x:v>
      </x:c>
      <x:c r="Q16" s="32" t="str">
        <x:v>Oui</x:v>
      </x:c>
      <x:c r="R16" s="32" t="str">
        <x:v>Prêt pour import</x:v>
      </x:c>
      <x:c r="S16" s="36" t="str">
        <x:v>Oui</x:v>
      </x:c>
      <x:c r="T16" s="32" t="str">
        <x:v>Rôle source 'service' conservé comme information source, mais pas transformé en chef : la fonction ne mentionne pas chef de service/unité.</x:v>
      </x:c>
      <x:c r="U16" s="32" t="str">
        <x:v>Prêt pour import</x:v>
      </x:c>
    </x:row>
    <x:row r="17">
      <x:c r="A17" s="36" t="n">
        <x:v>13</x:v>
      </x:c>
      <x:c r="B17" s="36" t="n">
        <x:v>13</x:v>
      </x:c>
      <x:c r="C17" s="32" t="str">
        <x:v>MIKODJI Casimir</x:v>
      </x:c>
      <x:c r="D17" s="32" t="str">
        <x:v>casimir.mikodji@anbg.ga</x:v>
      </x:c>
      <x:c r="E17" s="32" t="str">
        <x:v>DAF</x:v>
      </x:c>
      <x:c r="F17" s="32" t="str">
        <x:v>AMG</x:v>
      </x:c>
      <x:c r="G17" s="32" t="str">
        <x:v>Assistant admin</x:v>
      </x:c>
      <x:c r="H17" s="32" t="str">
        <x:v>agent</x:v>
      </x:c>
      <x:c r="I17" s="32" t="str">
        <x:v>DAF</x:v>
      </x:c>
      <x:c r="J17" s="32" t="str">
        <x:v>AMG</x:v>
      </x:c>
      <x:c r="K17" s="36" t="str">
        <x:v>Non</x:v>
      </x:c>
      <x:c r="L17" s="32" t="str"/>
      <x:c r="M17" s="32" t="str">
        <x:v>agent</x:v>
      </x:c>
      <x:c r="N17" s="32" t="str">
        <x:v>agent</x:v>
      </x:c>
      <x:c r="O17" s="32" t="str">
        <x:v>Opérationnelle</x:v>
      </x:c>
      <x:c r="P17" s="32" t="str">
        <x:v>Périmètre propre</x:v>
      </x:c>
      <x:c r="Q17" s="32" t="str">
        <x:v>Oui</x:v>
      </x:c>
      <x:c r="R17" s="32" t="str">
        <x:v>Prêt pour import</x:v>
      </x:c>
      <x:c r="S17" s="36" t="str">
        <x:v>Oui</x:v>
      </x:c>
      <x:c r="T17" s="32" t="str">
        <x:v>Agent opérationnel.</x:v>
      </x:c>
      <x:c r="U17" s="32" t="str">
        <x:v>Prêt pour import</x:v>
      </x:c>
    </x:row>
    <x:row r="18">
      <x:c r="A18" s="36" t="n">
        <x:v>14</x:v>
      </x:c>
      <x:c r="B18" s="36" t="n">
        <x:v>14</x:v>
      </x:c>
      <x:c r="C18" s="32" t="str">
        <x:v>NGALIBAMA Grasmy</x:v>
      </x:c>
      <x:c r="D18" s="32" t="str">
        <x:v>grasmy.ngalibama@anbg.ga</x:v>
      </x:c>
      <x:c r="E18" s="32" t="str">
        <x:v>DAF</x:v>
      </x:c>
      <x:c r="F18" s="32" t="str">
        <x:v>AMG</x:v>
      </x:c>
      <x:c r="G18" s="32" t="str">
        <x:v>Agent</x:v>
      </x:c>
      <x:c r="H18" s="32" t="str">
        <x:v>agent</x:v>
      </x:c>
      <x:c r="I18" s="32" t="str">
        <x:v>DAF</x:v>
      </x:c>
      <x:c r="J18" s="32" t="str">
        <x:v>AMG</x:v>
      </x:c>
      <x:c r="K18" s="36" t="str">
        <x:v>Non</x:v>
      </x:c>
      <x:c r="L18" s="32" t="str"/>
      <x:c r="M18" s="32" t="str">
        <x:v>agent</x:v>
      </x:c>
      <x:c r="N18" s="32" t="str">
        <x:v>agent</x:v>
      </x:c>
      <x:c r="O18" s="32" t="str">
        <x:v>Opérationnelle</x:v>
      </x:c>
      <x:c r="P18" s="32" t="str">
        <x:v>Périmètre propre</x:v>
      </x:c>
      <x:c r="Q18" s="32" t="str">
        <x:v>Oui</x:v>
      </x:c>
      <x:c r="R18" s="32" t="str">
        <x:v>Prêt pour import</x:v>
      </x:c>
      <x:c r="S18" s="36" t="str">
        <x:v>Oui</x:v>
      </x:c>
      <x:c r="T18" s="32" t="str">
        <x:v>Agent opérationnel.</x:v>
      </x:c>
      <x:c r="U18" s="32" t="str">
        <x:v>Prêt pour import</x:v>
      </x:c>
    </x:row>
    <x:row r="19">
      <x:c r="A19" s="36" t="n">
        <x:v>15</x:v>
      </x:c>
      <x:c r="B19" s="36" t="n">
        <x:v>15</x:v>
      </x:c>
      <x:c r="C19" s="32" t="str">
        <x:v>NGWELEH Igor</x:v>
      </x:c>
      <x:c r="D19" s="32" t="str">
        <x:v>igor.ngweleh@anbg.ga</x:v>
      </x:c>
      <x:c r="E19" s="32" t="str">
        <x:v>DAF</x:v>
      </x:c>
      <x:c r="F19" s="32" t="str">
        <x:v>AMG</x:v>
      </x:c>
      <x:c r="G19" s="32" t="str">
        <x:v>Transport</x:v>
      </x:c>
      <x:c r="H19" s="32" t="str">
        <x:v>agent</x:v>
      </x:c>
      <x:c r="I19" s="32" t="str">
        <x:v>DAF</x:v>
      </x:c>
      <x:c r="J19" s="32" t="str">
        <x:v>AMG</x:v>
      </x:c>
      <x:c r="K19" s="36" t="str">
        <x:v>Non</x:v>
      </x:c>
      <x:c r="L19" s="32" t="str"/>
      <x:c r="M19" s="32" t="str">
        <x:v>agent</x:v>
      </x:c>
      <x:c r="N19" s="32" t="str">
        <x:v>agent</x:v>
      </x:c>
      <x:c r="O19" s="32" t="str">
        <x:v>Opérationnelle</x:v>
      </x:c>
      <x:c r="P19" s="32" t="str">
        <x:v>Périmètre propre</x:v>
      </x:c>
      <x:c r="Q19" s="32" t="str">
        <x:v>Oui</x:v>
      </x:c>
      <x:c r="R19" s="32" t="str">
        <x:v>Prêt pour import</x:v>
      </x:c>
      <x:c r="S19" s="36" t="str">
        <x:v>Oui</x:v>
      </x:c>
      <x:c r="T19" s="32" t="str">
        <x:v>Agent opérationnel.</x:v>
      </x:c>
      <x:c r="U19" s="32" t="str">
        <x:v>Prêt pour import</x:v>
      </x:c>
    </x:row>
    <x:row r="20">
      <x:c r="A20" s="36" t="n">
        <x:v>16</x:v>
      </x:c>
      <x:c r="B20" s="36" t="n">
        <x:v>16</x:v>
      </x:c>
      <x:c r="C20" s="32" t="str">
        <x:v>AFFANE Saturnin</x:v>
      </x:c>
      <x:c r="D20" s="32" t="str">
        <x:v>saturnin.affane@anbg.ga</x:v>
      </x:c>
      <x:c r="E20" s="32" t="str">
        <x:v>DAF</x:v>
      </x:c>
      <x:c r="F20" s="32" t="str">
        <x:v>AMG</x:v>
      </x:c>
      <x:c r="G20" s="32" t="str">
        <x:v>Parc auto</x:v>
      </x:c>
      <x:c r="H20" s="32" t="str">
        <x:v>service</x:v>
      </x:c>
      <x:c r="I20" s="32" t="str">
        <x:v>DAF</x:v>
      </x:c>
      <x:c r="J20" s="32" t="str">
        <x:v>AMG</x:v>
      </x:c>
      <x:c r="K20" s="36" t="str">
        <x:v>Non</x:v>
      </x:c>
      <x:c r="L20" s="32" t="str"/>
      <x:c r="M20" s="32" t="str">
        <x:v>agent</x:v>
      </x:c>
      <x:c r="N20" s="32" t="str">
        <x:v>agent</x:v>
      </x:c>
      <x:c r="O20" s="32" t="str">
        <x:v>Opérationnelle</x:v>
      </x:c>
      <x:c r="P20" s="32" t="str">
        <x:v>Périmètre propre</x:v>
      </x:c>
      <x:c r="Q20" s="32" t="str">
        <x:v>Oui</x:v>
      </x:c>
      <x:c r="R20" s="32" t="str">
        <x:v>Prêt pour import</x:v>
      </x:c>
      <x:c r="S20" s="36" t="str">
        <x:v>Oui</x:v>
      </x:c>
      <x:c r="T20" s="32" t="str">
        <x:v>Rôle source 'service' conservé comme information source, mais pas transformé en chef : la fonction ne mentionne pas chef de service/unité.</x:v>
      </x:c>
      <x:c r="U20" s="32" t="str">
        <x:v>Prêt pour import</x:v>
      </x:c>
    </x:row>
    <x:row r="21">
      <x:c r="A21" s="36" t="n">
        <x:v>17</x:v>
      </x:c>
      <x:c r="B21" s="36" t="n">
        <x:v>17</x:v>
      </x:c>
      <x:c r="C21" s="32" t="str">
        <x:v>BINGOUMA Ines</x:v>
      </x:c>
      <x:c r="D21" s="32" t="str">
        <x:v>ines.bingouma@anbg.ga</x:v>
      </x:c>
      <x:c r="E21" s="32" t="str">
        <x:v>DAF</x:v>
      </x:c>
      <x:c r="F21" s="32" t="str">
        <x:v>AMG</x:v>
      </x:c>
      <x:c r="G21" s="32" t="str">
        <x:v>Logistique</x:v>
      </x:c>
      <x:c r="H21" s="32" t="str">
        <x:v>service</x:v>
      </x:c>
      <x:c r="I21" s="32" t="str">
        <x:v>DAF</x:v>
      </x:c>
      <x:c r="J21" s="32" t="str">
        <x:v>AMG</x:v>
      </x:c>
      <x:c r="K21" s="36" t="str">
        <x:v>Non</x:v>
      </x:c>
      <x:c r="L21" s="32" t="str"/>
      <x:c r="M21" s="32" t="str">
        <x:v>agent</x:v>
      </x:c>
      <x:c r="N21" s="32" t="str">
        <x:v>agent</x:v>
      </x:c>
      <x:c r="O21" s="32" t="str">
        <x:v>Opérationnelle</x:v>
      </x:c>
      <x:c r="P21" s="32" t="str">
        <x:v>Périmètre propre</x:v>
      </x:c>
      <x:c r="Q21" s="32" t="str">
        <x:v>Oui</x:v>
      </x:c>
      <x:c r="R21" s="32" t="str">
        <x:v>Prêt pour import</x:v>
      </x:c>
      <x:c r="S21" s="36" t="str">
        <x:v>Oui</x:v>
      </x:c>
      <x:c r="T21" s="32" t="str">
        <x:v>Rôle source 'service' conservé comme information source, mais pas transformé en chef : la fonction ne mentionne pas chef de service/unité.</x:v>
      </x:c>
      <x:c r="U21" s="32" t="str">
        <x:v>Prêt pour import</x:v>
      </x:c>
    </x:row>
    <x:row r="22">
      <x:c r="A22" s="36" t="n">
        <x:v>18</x:v>
      </x:c>
      <x:c r="B22" s="36" t="n">
        <x:v>18</x:v>
      </x:c>
      <x:c r="C22" s="32" t="str">
        <x:v>EYEANG Sonia</x:v>
      </x:c>
      <x:c r="D22" s="32" t="str">
        <x:v>sonia.eyeang@anbg.ga</x:v>
      </x:c>
      <x:c r="E22" s="32" t="str">
        <x:v>DAF</x:v>
      </x:c>
      <x:c r="F22" s="32" t="str">
        <x:v>AMG</x:v>
      </x:c>
      <x:c r="G22" s="32" t="str">
        <x:v>Chef service</x:v>
      </x:c>
      <x:c r="H22" s="32" t="str">
        <x:v>service</x:v>
      </x:c>
      <x:c r="I22" s="32" t="str">
        <x:v>DAF</x:v>
      </x:c>
      <x:c r="J22" s="41" t="str">
        <x:v>AMG</x:v>
      </x:c>
      <x:c r="K22" s="41" t="str">
        <x:v>Oui</x:v>
      </x:c>
      <x:c r="L22" s="32" t="str">
        <x:v>Chef de service</x:v>
      </x:c>
      <x:c r="M22" s="32" t="str">
        <x:v>chef de service</x:v>
      </x:c>
      <x:c r="N22" s="32" t="str">
        <x:v>chef_service</x:v>
      </x:c>
      <x:c r="O22" s="32" t="str">
        <x:v>Pilotage service/unité + opérationnel</x:v>
      </x:c>
      <x:c r="P22" s="32" t="str">
        <x:v>Périmètre service/unité</x:v>
      </x:c>
      <x:c r="Q22" s="32" t="str">
        <x:v>Oui</x:v>
      </x:c>
      <x:c r="R22" s="32" t="str">
        <x:v>Prêt pour import</x:v>
      </x:c>
      <x:c r="S22" s="36" t="str">
        <x:v>Oui</x:v>
      </x:c>
      <x:c r="T22" s="32" t="str">
        <x:v>Chef confirmé car la fonction/observation source mentionne explicitement chef ou responsable UCAS.</x:v>
      </x:c>
      <x:c r="U22" s="32" t="str">
        <x:v>Prêt pour import</x:v>
      </x:c>
    </x:row>
    <x:row r="23">
      <x:c r="A23" s="36" t="n">
        <x:v>19</x:v>
      </x:c>
      <x:c r="B23" s="36" t="n">
        <x:v>19</x:v>
      </x:c>
      <x:c r="C23" s="32" t="str">
        <x:v>MIKOLO Ulrich</x:v>
      </x:c>
      <x:c r="D23" s="32" t="str">
        <x:v>ulrich.mikolo@anbg.ga</x:v>
      </x:c>
      <x:c r="E23" s="32" t="str">
        <x:v>DAF</x:v>
      </x:c>
      <x:c r="F23" s="32" t="str">
        <x:v>AMG</x:v>
      </x:c>
      <x:c r="G23" s="32" t="str">
        <x:v>Responsable voyage</x:v>
      </x:c>
      <x:c r="H23" s="32" t="str">
        <x:v>service</x:v>
      </x:c>
      <x:c r="I23" s="32" t="str">
        <x:v>DAF</x:v>
      </x:c>
      <x:c r="J23" s="32" t="str">
        <x:v>AMG</x:v>
      </x:c>
      <x:c r="K23" s="36" t="str">
        <x:v>Non</x:v>
      </x:c>
      <x:c r="L23" s="32" t="str"/>
      <x:c r="M23" s="32" t="str">
        <x:v>agent</x:v>
      </x:c>
      <x:c r="N23" s="32" t="str">
        <x:v>agent</x:v>
      </x:c>
      <x:c r="O23" s="32" t="str">
        <x:v>Opérationnelle</x:v>
      </x:c>
      <x:c r="P23" s="32" t="str">
        <x:v>Périmètre propre</x:v>
      </x:c>
      <x:c r="Q23" s="32" t="str">
        <x:v>Oui</x:v>
      </x:c>
      <x:c r="R23" s="32" t="str">
        <x:v>Prêt pour import</x:v>
      </x:c>
      <x:c r="S23" s="36" t="str">
        <x:v>Oui</x:v>
      </x:c>
      <x:c r="T23" s="32" t="str">
        <x:v>Rôle source 'service' conservé comme information source, mais pas transformé en chef : la fonction ne mentionne pas chef de service/unité.</x:v>
      </x:c>
      <x:c r="U23" s="32" t="str">
        <x:v>Prêt pour import</x:v>
      </x:c>
    </x:row>
    <x:row r="24">
      <x:c r="A24" s="36" t="n">
        <x:v>20</x:v>
      </x:c>
      <x:c r="B24" s="36" t="n">
        <x:v>20</x:v>
      </x:c>
      <x:c r="C24" s="32" t="str">
        <x:v>ABOGO Melissa</x:v>
      </x:c>
      <x:c r="D24" s="32" t="str">
        <x:v>melissa.abogo@anbg.ga</x:v>
      </x:c>
      <x:c r="E24" s="32" t="str">
        <x:v>DAF</x:v>
      </x:c>
      <x:c r="F24" s="32" t="str">
        <x:v>SFC</x:v>
      </x:c>
      <x:c r="G24" s="32" t="str">
        <x:v>Gestionnaire bourse</x:v>
      </x:c>
      <x:c r="H24" s="32" t="str">
        <x:v>agent</x:v>
      </x:c>
      <x:c r="I24" s="32" t="str">
        <x:v>DAF</x:v>
      </x:c>
      <x:c r="J24" s="32" t="str">
        <x:v>SFC</x:v>
      </x:c>
      <x:c r="K24" s="36" t="str">
        <x:v>Non</x:v>
      </x:c>
      <x:c r="L24" s="32" t="str"/>
      <x:c r="M24" s="32" t="str">
        <x:v>agent</x:v>
      </x:c>
      <x:c r="N24" s="32" t="str">
        <x:v>agent</x:v>
      </x:c>
      <x:c r="O24" s="32" t="str">
        <x:v>Opérationnelle</x:v>
      </x:c>
      <x:c r="P24" s="32" t="str">
        <x:v>Périmètre propre</x:v>
      </x:c>
      <x:c r="Q24" s="32" t="str">
        <x:v>Oui</x:v>
      </x:c>
      <x:c r="R24" s="32" t="str">
        <x:v>Prêt pour import</x:v>
      </x:c>
      <x:c r="S24" s="36" t="str">
        <x:v>Oui</x:v>
      </x:c>
      <x:c r="T24" s="32" t="str">
        <x:v>Agent opérationnel.</x:v>
      </x:c>
      <x:c r="U24" s="32" t="str">
        <x:v>Prêt pour import</x:v>
      </x:c>
    </x:row>
    <x:row r="25">
      <x:c r="A25" s="36" t="n">
        <x:v>21</x:v>
      </x:c>
      <x:c r="B25" s="36" t="n">
        <x:v>21</x:v>
      </x:c>
      <x:c r="C25" s="32" t="str">
        <x:v>MADIBA Herbert</x:v>
      </x:c>
      <x:c r="D25" s="32" t="str">
        <x:v>herbert.madiba@anbg.ga</x:v>
      </x:c>
      <x:c r="E25" s="32" t="str">
        <x:v>DAF</x:v>
      </x:c>
      <x:c r="F25" s="32" t="str">
        <x:v>SFC</x:v>
      </x:c>
      <x:c r="G25" s="32" t="str">
        <x:v>Gestionnaire</x:v>
      </x:c>
      <x:c r="H25" s="32" t="str">
        <x:v>agent</x:v>
      </x:c>
      <x:c r="I25" s="32" t="str">
        <x:v>DAF</x:v>
      </x:c>
      <x:c r="J25" s="32" t="str">
        <x:v>SFC</x:v>
      </x:c>
      <x:c r="K25" s="36" t="str">
        <x:v>Non</x:v>
      </x:c>
      <x:c r="L25" s="32" t="str"/>
      <x:c r="M25" s="32" t="str">
        <x:v>agent</x:v>
      </x:c>
      <x:c r="N25" s="32" t="str">
        <x:v>agent</x:v>
      </x:c>
      <x:c r="O25" s="32" t="str">
        <x:v>Opérationnelle</x:v>
      </x:c>
      <x:c r="P25" s="32" t="str">
        <x:v>Périmètre propre</x:v>
      </x:c>
      <x:c r="Q25" s="32" t="str">
        <x:v>Oui</x:v>
      </x:c>
      <x:c r="R25" s="32" t="str">
        <x:v>Prêt pour import</x:v>
      </x:c>
      <x:c r="S25" s="36" t="str">
        <x:v>Oui</x:v>
      </x:c>
      <x:c r="T25" s="32" t="str">
        <x:v>Agent opérationnel.</x:v>
      </x:c>
      <x:c r="U25" s="32" t="str">
        <x:v>Prêt pour import</x:v>
      </x:c>
    </x:row>
    <x:row r="26">
      <x:c r="A26" s="36" t="n">
        <x:v>22</x:v>
      </x:c>
      <x:c r="B26" s="36" t="n">
        <x:v>22</x:v>
      </x:c>
      <x:c r="C26" s="32" t="str">
        <x:v>MAPAGA Yannis</x:v>
      </x:c>
      <x:c r="D26" s="32" t="str">
        <x:v>yannis.mapaga@anbg.ga</x:v>
      </x:c>
      <x:c r="E26" s="32" t="str">
        <x:v>DAF</x:v>
      </x:c>
      <x:c r="F26" s="32" t="str">
        <x:v>SFC</x:v>
      </x:c>
      <x:c r="G26" s="32" t="str">
        <x:v>Gestionnaire</x:v>
      </x:c>
      <x:c r="H26" s="32" t="str">
        <x:v>agent</x:v>
      </x:c>
      <x:c r="I26" s="32" t="str">
        <x:v>DAF</x:v>
      </x:c>
      <x:c r="J26" s="32" t="str">
        <x:v>SFC</x:v>
      </x:c>
      <x:c r="K26" s="36" t="str">
        <x:v>Non</x:v>
      </x:c>
      <x:c r="L26" s="32" t="str"/>
      <x:c r="M26" s="32" t="str">
        <x:v>agent</x:v>
      </x:c>
      <x:c r="N26" s="32" t="str">
        <x:v>agent</x:v>
      </x:c>
      <x:c r="O26" s="32" t="str">
        <x:v>Opérationnelle</x:v>
      </x:c>
      <x:c r="P26" s="32" t="str">
        <x:v>Périmètre propre</x:v>
      </x:c>
      <x:c r="Q26" s="32" t="str">
        <x:v>Oui</x:v>
      </x:c>
      <x:c r="R26" s="32" t="str">
        <x:v>Prêt pour import</x:v>
      </x:c>
      <x:c r="S26" s="36" t="str">
        <x:v>Oui</x:v>
      </x:c>
      <x:c r="T26" s="32" t="str">
        <x:v>Agent opérationnel.</x:v>
      </x:c>
      <x:c r="U26" s="32" t="str">
        <x:v>Prêt pour import</x:v>
      </x:c>
    </x:row>
    <x:row r="27">
      <x:c r="A27" s="36" t="n">
        <x:v>23</x:v>
      </x:c>
      <x:c r="B27" s="36" t="n">
        <x:v>23</x:v>
      </x:c>
      <x:c r="C27" s="32" t="str">
        <x:v>MOUALOUANGO Molan</x:v>
      </x:c>
      <x:c r="D27" s="32" t="str">
        <x:v>molan.moualouango@anbg.ga</x:v>
      </x:c>
      <x:c r="E27" s="32" t="str">
        <x:v>DAF</x:v>
      </x:c>
      <x:c r="F27" s="32" t="str">
        <x:v>SFC</x:v>
      </x:c>
      <x:c r="G27" s="32" t="str">
        <x:v>Gestionnaire</x:v>
      </x:c>
      <x:c r="H27" s="32" t="str">
        <x:v>agent</x:v>
      </x:c>
      <x:c r="I27" s="32" t="str">
        <x:v>DAF</x:v>
      </x:c>
      <x:c r="J27" s="32" t="str">
        <x:v>SFC</x:v>
      </x:c>
      <x:c r="K27" s="36" t="str">
        <x:v>Non</x:v>
      </x:c>
      <x:c r="L27" s="32" t="str"/>
      <x:c r="M27" s="32" t="str">
        <x:v>agent</x:v>
      </x:c>
      <x:c r="N27" s="32" t="str">
        <x:v>agent</x:v>
      </x:c>
      <x:c r="O27" s="32" t="str">
        <x:v>Opérationnelle</x:v>
      </x:c>
      <x:c r="P27" s="32" t="str">
        <x:v>Périmètre propre</x:v>
      </x:c>
      <x:c r="Q27" s="32" t="str">
        <x:v>Oui</x:v>
      </x:c>
      <x:c r="R27" s="32" t="str">
        <x:v>Prêt pour import</x:v>
      </x:c>
      <x:c r="S27" s="36" t="str">
        <x:v>Oui</x:v>
      </x:c>
      <x:c r="T27" s="32" t="str">
        <x:v>Agent opérationnel.</x:v>
      </x:c>
      <x:c r="U27" s="32" t="str">
        <x:v>Prêt pour import</x:v>
      </x:c>
    </x:row>
    <x:row r="28">
      <x:c r="A28" s="36" t="n">
        <x:v>24</x:v>
      </x:c>
      <x:c r="B28" s="36" t="n">
        <x:v>24</x:v>
      </x:c>
      <x:c r="C28" s="32" t="str">
        <x:v>MOUEBI Yannick</x:v>
      </x:c>
      <x:c r="D28" s="32" t="str">
        <x:v>yannick.mouebi@anbg.ga</x:v>
      </x:c>
      <x:c r="E28" s="32" t="str">
        <x:v>DAF</x:v>
      </x:c>
      <x:c r="F28" s="32" t="str">
        <x:v>SFC</x:v>
      </x:c>
      <x:c r="G28" s="32" t="str">
        <x:v>Gestionnaire</x:v>
      </x:c>
      <x:c r="H28" s="32" t="str">
        <x:v>agent</x:v>
      </x:c>
      <x:c r="I28" s="32" t="str">
        <x:v>DAF</x:v>
      </x:c>
      <x:c r="J28" s="32" t="str">
        <x:v>SFC</x:v>
      </x:c>
      <x:c r="K28" s="36" t="str">
        <x:v>Non</x:v>
      </x:c>
      <x:c r="L28" s="32" t="str"/>
      <x:c r="M28" s="32" t="str">
        <x:v>agent</x:v>
      </x:c>
      <x:c r="N28" s="32" t="str">
        <x:v>agent</x:v>
      </x:c>
      <x:c r="O28" s="32" t="str">
        <x:v>Opérationnelle</x:v>
      </x:c>
      <x:c r="P28" s="32" t="str">
        <x:v>Périmètre propre</x:v>
      </x:c>
      <x:c r="Q28" s="32" t="str">
        <x:v>Oui</x:v>
      </x:c>
      <x:c r="R28" s="32" t="str">
        <x:v>Prêt pour import</x:v>
      </x:c>
      <x:c r="S28" s="36" t="str">
        <x:v>Oui</x:v>
      </x:c>
      <x:c r="T28" s="32" t="str">
        <x:v>Agent opérationnel.</x:v>
      </x:c>
      <x:c r="U28" s="32" t="str">
        <x:v>Prêt pour import</x:v>
      </x:c>
    </x:row>
    <x:row r="29">
      <x:c r="A29" s="36" t="n">
        <x:v>25</x:v>
      </x:c>
      <x:c r="B29" s="36" t="n">
        <x:v>25</x:v>
      </x:c>
      <x:c r="C29" s="32" t="str">
        <x:v>MOUKONGO Candy</x:v>
      </x:c>
      <x:c r="D29" s="32" t="str">
        <x:v>candy.moukongo@anbg.ga</x:v>
      </x:c>
      <x:c r="E29" s="32" t="str">
        <x:v>DAF</x:v>
      </x:c>
      <x:c r="F29" s="32" t="str">
        <x:v>SFC</x:v>
      </x:c>
      <x:c r="G29" s="32" t="str">
        <x:v>Gestionnaire</x:v>
      </x:c>
      <x:c r="H29" s="32" t="str">
        <x:v>agent</x:v>
      </x:c>
      <x:c r="I29" s="32" t="str">
        <x:v>DAF</x:v>
      </x:c>
      <x:c r="J29" s="32" t="str">
        <x:v>SFC</x:v>
      </x:c>
      <x:c r="K29" s="36" t="str">
        <x:v>Non</x:v>
      </x:c>
      <x:c r="L29" s="32" t="str"/>
      <x:c r="M29" s="32" t="str">
        <x:v>agent</x:v>
      </x:c>
      <x:c r="N29" s="32" t="str">
        <x:v>agent</x:v>
      </x:c>
      <x:c r="O29" s="32" t="str">
        <x:v>Opérationnelle</x:v>
      </x:c>
      <x:c r="P29" s="32" t="str">
        <x:v>Périmètre propre</x:v>
      </x:c>
      <x:c r="Q29" s="32" t="str">
        <x:v>Oui</x:v>
      </x:c>
      <x:c r="R29" s="32" t="str">
        <x:v>Prêt pour import</x:v>
      </x:c>
      <x:c r="S29" s="36" t="str">
        <x:v>Oui</x:v>
      </x:c>
      <x:c r="T29" s="32" t="str">
        <x:v>Agent opérationnel.</x:v>
      </x:c>
      <x:c r="U29" s="32" t="str">
        <x:v>Prêt pour import</x:v>
      </x:c>
    </x:row>
    <x:row r="30">
      <x:c r="A30" s="36" t="n">
        <x:v>26</x:v>
      </x:c>
      <x:c r="B30" s="36" t="n">
        <x:v>26</x:v>
      </x:c>
      <x:c r="C30" s="32" t="str">
        <x:v>NDAKISSA Tassiana</x:v>
      </x:c>
      <x:c r="D30" s="32" t="str">
        <x:v>tassiana.ndakissa@anbg.ga</x:v>
      </x:c>
      <x:c r="E30" s="32" t="str">
        <x:v>DAF</x:v>
      </x:c>
      <x:c r="F30" s="32" t="str">
        <x:v>SFC</x:v>
      </x:c>
      <x:c r="G30" s="32" t="str">
        <x:v>Gestionnaire</x:v>
      </x:c>
      <x:c r="H30" s="32" t="str">
        <x:v>agent</x:v>
      </x:c>
      <x:c r="I30" s="32" t="str">
        <x:v>DAF</x:v>
      </x:c>
      <x:c r="J30" s="32" t="str">
        <x:v>SFC</x:v>
      </x:c>
      <x:c r="K30" s="36" t="str">
        <x:v>Non</x:v>
      </x:c>
      <x:c r="L30" s="32" t="str"/>
      <x:c r="M30" s="32" t="str">
        <x:v>agent</x:v>
      </x:c>
      <x:c r="N30" s="32" t="str">
        <x:v>agent</x:v>
      </x:c>
      <x:c r="O30" s="32" t="str">
        <x:v>Opérationnelle</x:v>
      </x:c>
      <x:c r="P30" s="32" t="str">
        <x:v>Périmètre propre</x:v>
      </x:c>
      <x:c r="Q30" s="32" t="str">
        <x:v>Oui</x:v>
      </x:c>
      <x:c r="R30" s="32" t="str">
        <x:v>Prêt pour import</x:v>
      </x:c>
      <x:c r="S30" s="36" t="str">
        <x:v>Oui</x:v>
      </x:c>
      <x:c r="T30" s="32" t="str">
        <x:v>Agent opérationnel.</x:v>
      </x:c>
      <x:c r="U30" s="32" t="str">
        <x:v>Prêt pour import</x:v>
      </x:c>
    </x:row>
    <x:row r="31">
      <x:c r="A31" s="36" t="n">
        <x:v>27</x:v>
      </x:c>
      <x:c r="B31" s="36" t="n">
        <x:v>27</x:v>
      </x:c>
      <x:c r="C31" s="32" t="str">
        <x:v>EKOMI Robert</x:v>
      </x:c>
      <x:c r="D31" s="32" t="str">
        <x:v>robert.ekomi@anbg.ga</x:v>
      </x:c>
      <x:c r="E31" s="32" t="str">
        <x:v>DAF</x:v>
      </x:c>
      <x:c r="F31" s="32" t="str">
        <x:v>SFC</x:v>
      </x:c>
      <x:c r="G31" s="32" t="str">
        <x:v>Chef service</x:v>
      </x:c>
      <x:c r="H31" s="32" t="str">
        <x:v>service</x:v>
      </x:c>
      <x:c r="I31" s="32" t="str">
        <x:v>DAF</x:v>
      </x:c>
      <x:c r="J31" s="41" t="str">
        <x:v>SFC</x:v>
      </x:c>
      <x:c r="K31" s="41" t="str">
        <x:v>Oui</x:v>
      </x:c>
      <x:c r="L31" s="32" t="str">
        <x:v>Chef de service</x:v>
      </x:c>
      <x:c r="M31" s="32" t="str">
        <x:v>chef de service</x:v>
      </x:c>
      <x:c r="N31" s="32" t="str">
        <x:v>chef_service</x:v>
      </x:c>
      <x:c r="O31" s="32" t="str">
        <x:v>Pilotage service/unité + opérationnel</x:v>
      </x:c>
      <x:c r="P31" s="32" t="str">
        <x:v>Périmètre service/unité</x:v>
      </x:c>
      <x:c r="Q31" s="32" t="str">
        <x:v>Oui</x:v>
      </x:c>
      <x:c r="R31" s="32" t="str">
        <x:v>Prêt pour import</x:v>
      </x:c>
      <x:c r="S31" s="36" t="str">
        <x:v>Oui</x:v>
      </x:c>
      <x:c r="T31" s="32" t="str">
        <x:v>Chef confirmé car la fonction/observation source mentionne explicitement chef ou responsable UCAS.</x:v>
      </x:c>
      <x:c r="U31" s="32" t="str">
        <x:v>Prêt pour import</x:v>
      </x:c>
    </x:row>
    <x:row r="32">
      <x:c r="A32" s="36" t="n">
        <x:v>28</x:v>
      </x:c>
      <x:c r="B32" s="36" t="n">
        <x:v>28</x:v>
      </x:c>
      <x:c r="C32" s="32" t="str">
        <x:v>MOULOUNGUI Audrey</x:v>
      </x:c>
      <x:c r="D32" s="32" t="str">
        <x:v>audrey.mouloungui@anbg.ga</x:v>
      </x:c>
      <x:c r="E32" s="32" t="str">
        <x:v>DAF</x:v>
      </x:c>
      <x:c r="F32" s="32" t="str">
        <x:v>SFC</x:v>
      </x:c>
      <x:c r="G32" s="32" t="str">
        <x:v>Suivi administratif</x:v>
      </x:c>
      <x:c r="H32" s="32" t="str">
        <x:v>service</x:v>
      </x:c>
      <x:c r="I32" s="32" t="str">
        <x:v>DAF</x:v>
      </x:c>
      <x:c r="J32" s="32" t="str">
        <x:v>SFC</x:v>
      </x:c>
      <x:c r="K32" s="36" t="str">
        <x:v>Non</x:v>
      </x:c>
      <x:c r="L32" s="32" t="str"/>
      <x:c r="M32" s="32" t="str">
        <x:v>agent</x:v>
      </x:c>
      <x:c r="N32" s="32" t="str">
        <x:v>agent</x:v>
      </x:c>
      <x:c r="O32" s="32" t="str">
        <x:v>Opérationnelle</x:v>
      </x:c>
      <x:c r="P32" s="32" t="str">
        <x:v>Périmètre propre</x:v>
      </x:c>
      <x:c r="Q32" s="32" t="str">
        <x:v>Oui</x:v>
      </x:c>
      <x:c r="R32" s="32" t="str">
        <x:v>Prêt pour import</x:v>
      </x:c>
      <x:c r="S32" s="36" t="str">
        <x:v>Oui</x:v>
      </x:c>
      <x:c r="T32" s="32" t="str">
        <x:v>Rôle source 'service' conservé comme information source, mais pas transformé en chef : la fonction ne mentionne pas chef de service/unité.</x:v>
      </x:c>
      <x:c r="U32" s="32" t="str">
        <x:v>Prêt pour import</x:v>
      </x:c>
    </x:row>
    <x:row r="33">
      <x:c r="A33" s="36" t="n">
        <x:v>29</x:v>
      </x:c>
      <x:c r="B33" s="36" t="n">
        <x:v>29</x:v>
      </x:c>
      <x:c r="C33" s="32" t="str">
        <x:v>Ingrid</x:v>
      </x:c>
      <x:c r="D33" s="32" t="str">
        <x:v>ingrid@anbg.ga</x:v>
      </x:c>
      <x:c r="E33" s="32" t="str">
        <x:v>DG</x:v>
      </x:c>
      <x:c r="F33" s="32" t="str">
        <x:v>DIRGEN</x:v>
      </x:c>
      <x:c r="G33" s="32" t="str">
        <x:v>Directeur Général</x:v>
      </x:c>
      <x:c r="H33" s="32" t="str">
        <x:v>dg</x:v>
      </x:c>
      <x:c r="I33" s="32" t="str">
        <x:v>Cabinet du DG</x:v>
      </x:c>
      <x:c r="J33" s="32" t="str">
        <x:v>Direction Générale</x:v>
      </x:c>
      <x:c r="K33" s="36" t="str">
        <x:v>Non</x:v>
      </x:c>
      <x:c r="L33" s="32" t="str"/>
      <x:c r="M33" s="32" t="str">
        <x:v>DG</x:v>
      </x:c>
      <x:c r="N33" s="32" t="str">
        <x:v>dg</x:v>
      </x:c>
      <x:c r="O33" s="32" t="str">
        <x:v>Supervision globale + opérationnel</x:v>
      </x:c>
      <x:c r="P33" s="32" t="str">
        <x:v>Agence</x:v>
      </x:c>
      <x:c r="Q33" s="32" t="str">
        <x:v>Oui</x:v>
      </x:c>
      <x:c r="R33" s="32" t="str">
        <x:v>Prêt pour import</x:v>
      </x:c>
      <x:c r="S33" s="36" t="str">
        <x:v>Oui</x:v>
      </x:c>
      <x:c r="T33" s="32" t="str">
        <x:v>Responsable de niveau direction / DG selon la fonction source. Ancien code DG/DGA non utilisé comme direction officielle ; rattachement corrigé vers Cabinet du DG.</x:v>
      </x:c>
      <x:c r="U33" s="32" t="str">
        <x:v>Prêt pour import</x:v>
      </x:c>
    </x:row>
    <x:row r="34">
      <x:c r="A34" s="36" t="n">
        <x:v>30</x:v>
      </x:c>
      <x:c r="B34" s="36" t="n">
        <x:v>30</x:v>
      </x:c>
      <x:c r="C34" s="32" t="str">
        <x:v>MOUSSAVOU Orphe Tresor</x:v>
      </x:c>
      <x:c r="D34" s="32" t="str">
        <x:v>tresor.moussavou@anbg.ga</x:v>
      </x:c>
      <x:c r="E34" s="32" t="str">
        <x:v>DG</x:v>
      </x:c>
      <x:c r="F34" s="32" t="str">
        <x:v>CAB</x:v>
      </x:c>
      <x:c r="G34" s="32" t="str">
        <x:v>Chauffeur DG</x:v>
      </x:c>
      <x:c r="H34" s="32" t="str">
        <x:v>agent</x:v>
      </x:c>
      <x:c r="I34" s="32" t="str">
        <x:v>Cabinet du DG</x:v>
      </x:c>
      <x:c r="J34" s="32" t="str">
        <x:v>Collaborateurs</x:v>
      </x:c>
      <x:c r="K34" s="36" t="str">
        <x:v>Non</x:v>
      </x:c>
      <x:c r="L34" s="32" t="str"/>
      <x:c r="M34" s="32" t="str">
        <x:v>collaborateur</x:v>
      </x:c>
      <x:c r="N34" s="32" t="str">
        <x:v>collaborateur</x:v>
      </x:c>
      <x:c r="O34" s="32" t="str">
        <x:v>Double interface</x:v>
      </x:c>
      <x:c r="P34" s="32" t="str">
        <x:v>Agence + périmètre propre</x:v>
      </x:c>
      <x:c r="Q34" s="32" t="str">
        <x:v>Oui</x:v>
      </x:c>
      <x:c r="R34" s="32" t="str">
        <x:v>Prêt pour import</x:v>
      </x:c>
      <x:c r="S34" s="36" t="str">
        <x:v>Oui</x:v>
      </x:c>
      <x:c r="T34" s="32" t="str">
        <x:v>Collaborateurs du Cabinet : vue élargie + actions propres. Ancien code DG/DGA non utilisé comme direction officielle ; rattachement corrigé vers Cabinet du DG.</x:v>
      </x:c>
      <x:c r="U34" s="32" t="str">
        <x:v>Prêt pour import</x:v>
      </x:c>
    </x:row>
    <x:row r="35">
      <x:c r="A35" s="36" t="n">
        <x:v>31</x:v>
      </x:c>
      <x:c r="B35" s="36" t="n">
        <x:v>31</x:v>
      </x:c>
      <x:c r="C35" s="32" t="str">
        <x:v>ADAN-GBLENOU Loick Eklu Gagnon</x:v>
      </x:c>
      <x:c r="D35" s="32" t="str">
        <x:v>loick.adan@anbg.ga</x:v>
      </x:c>
      <x:c r="E35" s="32" t="str">
        <x:v>DG</x:v>
      </x:c>
      <x:c r="F35" s="32" t="str">
        <x:v>CAB</x:v>
      </x:c>
      <x:c r="G35" s="32" t="str">
        <x:v>Conseiller Technique</x:v>
      </x:c>
      <x:c r="H35" s="32" t="str">
        <x:v>cabinet</x:v>
      </x:c>
      <x:c r="I35" s="32" t="str">
        <x:v>Cabinet du DG</x:v>
      </x:c>
      <x:c r="J35" s="32" t="str">
        <x:v>Collaborateurs</x:v>
      </x:c>
      <x:c r="K35" s="36" t="str">
        <x:v>Non</x:v>
      </x:c>
      <x:c r="L35" s="32" t="str"/>
      <x:c r="M35" s="32" t="str">
        <x:v>collaborateur</x:v>
      </x:c>
      <x:c r="N35" s="32" t="str">
        <x:v>collaborateur</x:v>
      </x:c>
      <x:c r="O35" s="32" t="str">
        <x:v>Double interface</x:v>
      </x:c>
      <x:c r="P35" s="32" t="str">
        <x:v>Agence + périmètre propre</x:v>
      </x:c>
      <x:c r="Q35" s="32" t="str">
        <x:v>Oui</x:v>
      </x:c>
      <x:c r="R35" s="32" t="str">
        <x:v>Prêt pour import</x:v>
      </x:c>
      <x:c r="S35" s="36" t="str">
        <x:v>Oui</x:v>
      </x:c>
      <x:c r="T35" s="32" t="str">
        <x:v>Collaborateurs du Cabinet : vue élargie + actions propres. Ancien code DG/DGA non utilisé comme direction officielle ; rattachement corrigé vers Cabinet du DG.</x:v>
      </x:c>
      <x:c r="U35" s="32" t="str">
        <x:v>Prêt pour import</x:v>
      </x:c>
    </x:row>
    <x:row r="36">
      <x:c r="A36" s="36" t="n">
        <x:v>32</x:v>
      </x:c>
      <x:c r="B36" s="36" t="n">
        <x:v>32</x:v>
      </x:c>
      <x:c r="C36" s="32" t="str">
        <x:v>ATSAKOUNA Judicael</x:v>
      </x:c>
      <x:c r="D36" s="32" t="str">
        <x:v>judicael.atsakouna@anbg.ga</x:v>
      </x:c>
      <x:c r="E36" s="32" t="str">
        <x:v>DG</x:v>
      </x:c>
      <x:c r="F36" s="32" t="str">
        <x:v>CAB</x:v>
      </x:c>
      <x:c r="G36" s="32" t="str">
        <x:v>Chargé d'étude</x:v>
      </x:c>
      <x:c r="H36" s="32" t="str">
        <x:v>cabinet</x:v>
      </x:c>
      <x:c r="I36" s="32" t="str">
        <x:v>Cabinet du DG</x:v>
      </x:c>
      <x:c r="J36" s="32" t="str">
        <x:v>Collaborateurs</x:v>
      </x:c>
      <x:c r="K36" s="36" t="str">
        <x:v>Non</x:v>
      </x:c>
      <x:c r="L36" s="32" t="str"/>
      <x:c r="M36" s="32" t="str">
        <x:v>collaborateur</x:v>
      </x:c>
      <x:c r="N36" s="32" t="str">
        <x:v>collaborateur</x:v>
      </x:c>
      <x:c r="O36" s="32" t="str">
        <x:v>Double interface</x:v>
      </x:c>
      <x:c r="P36" s="32" t="str">
        <x:v>Agence + périmètre propre</x:v>
      </x:c>
      <x:c r="Q36" s="32" t="str">
        <x:v>Oui</x:v>
      </x:c>
      <x:c r="R36" s="32" t="str">
        <x:v>Prêt pour import</x:v>
      </x:c>
      <x:c r="S36" s="36" t="str">
        <x:v>Oui</x:v>
      </x:c>
      <x:c r="T36" s="32" t="str">
        <x:v>Collaborateurs du Cabinet : vue élargie + actions propres. Ancien code DG/DGA non utilisé comme direction officielle ; rattachement corrigé vers Cabinet du DG.</x:v>
      </x:c>
      <x:c r="U36" s="32" t="str">
        <x:v>Prêt pour import</x:v>
      </x:c>
    </x:row>
    <x:row r="37">
      <x:c r="A37" s="36" t="n">
        <x:v>33</x:v>
      </x:c>
      <x:c r="B37" s="36" t="n">
        <x:v>33</x:v>
      </x:c>
      <x:c r="C37" s="32" t="str">
        <x:v>EVOUNA OBAME Serge</x:v>
      </x:c>
      <x:c r="D37" s="32" t="str">
        <x:v>serge.evouna@anbg.ga</x:v>
      </x:c>
      <x:c r="E37" s="32" t="str">
        <x:v>DG</x:v>
      </x:c>
      <x:c r="F37" s="32" t="str">
        <x:v>CAB</x:v>
      </x:c>
      <x:c r="G37" s="32" t="str">
        <x:v>Assistant administratif</x:v>
      </x:c>
      <x:c r="H37" s="32" t="str">
        <x:v>cabinet</x:v>
      </x:c>
      <x:c r="I37" s="32" t="str">
        <x:v>Cabinet du DG</x:v>
      </x:c>
      <x:c r="J37" s="32" t="str">
        <x:v>Collaborateurs</x:v>
      </x:c>
      <x:c r="K37" s="36" t="str">
        <x:v>Non</x:v>
      </x:c>
      <x:c r="L37" s="32" t="str"/>
      <x:c r="M37" s="32" t="str">
        <x:v>collaborateur</x:v>
      </x:c>
      <x:c r="N37" s="32" t="str">
        <x:v>collaborateur</x:v>
      </x:c>
      <x:c r="O37" s="32" t="str">
        <x:v>Double interface</x:v>
      </x:c>
      <x:c r="P37" s="32" t="str">
        <x:v>Agence + périmètre propre</x:v>
      </x:c>
      <x:c r="Q37" s="32" t="str">
        <x:v>Oui</x:v>
      </x:c>
      <x:c r="R37" s="32" t="str">
        <x:v>Prêt pour import</x:v>
      </x:c>
      <x:c r="S37" s="36" t="str">
        <x:v>Oui</x:v>
      </x:c>
      <x:c r="T37" s="32" t="str">
        <x:v>Collaborateurs du Cabinet : vue élargie + actions propres. Ancien code DG/DGA non utilisé comme direction officielle ; rattachement corrigé vers Cabinet du DG.</x:v>
      </x:c>
      <x:c r="U37" s="32" t="str">
        <x:v>Prêt pour import</x:v>
      </x:c>
    </x:row>
    <x:row r="38">
      <x:c r="A38" s="36" t="n">
        <x:v>34</x:v>
      </x:c>
      <x:c r="B38" s="36" t="n">
        <x:v>34</x:v>
      </x:c>
      <x:c r="C38" s="32" t="str">
        <x:v>KANGA Monique</x:v>
      </x:c>
      <x:c r="D38" s="32" t="str">
        <x:v>monique.kanga@anbg.ga</x:v>
      </x:c>
      <x:c r="E38" s="32" t="str">
        <x:v>DGA</x:v>
      </x:c>
      <x:c r="F38" s="32" t="str">
        <x:v>SECDGA</x:v>
      </x:c>
      <x:c r="G38" s="32" t="str">
        <x:v>Secrétaire DGA</x:v>
      </x:c>
      <x:c r="H38" s="32" t="str">
        <x:v>cabinet</x:v>
      </x:c>
      <x:c r="I38" s="32" t="str">
        <x:v>Cabinet du DG</x:v>
      </x:c>
      <x:c r="J38" s="32" t="str">
        <x:v>Collaborateurs</x:v>
      </x:c>
      <x:c r="K38" s="36" t="str">
        <x:v>Non</x:v>
      </x:c>
      <x:c r="L38" s="32" t="str"/>
      <x:c r="M38" s="32" t="str">
        <x:v>collaborateur</x:v>
      </x:c>
      <x:c r="N38" s="32" t="str">
        <x:v>collaborateur</x:v>
      </x:c>
      <x:c r="O38" s="32" t="str">
        <x:v>Double interface</x:v>
      </x:c>
      <x:c r="P38" s="32" t="str">
        <x:v>Agence + périmètre propre</x:v>
      </x:c>
      <x:c r="Q38" s="32" t="str">
        <x:v>Oui</x:v>
      </x:c>
      <x:c r="R38" s="32" t="str">
        <x:v>Prêt pour import</x:v>
      </x:c>
      <x:c r="S38" s="36" t="str">
        <x:v>Oui</x:v>
      </x:c>
      <x:c r="T38" s="32" t="str">
        <x:v>Collaborateurs du Cabinet : vue élargie + actions propres. Ancien code DG/DGA non utilisé comme direction officielle ; rattachement corrigé vers Cabinet du DG.</x:v>
      </x:c>
      <x:c r="U38" s="32" t="str">
        <x:v>Prêt pour import</x:v>
      </x:c>
    </x:row>
    <x:row r="39">
      <x:c r="A39" s="36" t="n">
        <x:v>35</x:v>
      </x:c>
      <x:c r="B39" s="36" t="n">
        <x:v>35</x:v>
      </x:c>
      <x:c r="C39" s="32" t="str">
        <x:v>LEYOGHO MAYILA Clif Loic</x:v>
      </x:c>
      <x:c r="D39" s="32" t="str">
        <x:v>clif.leyogho@anbg.ga</x:v>
      </x:c>
      <x:c r="E39" s="32" t="str">
        <x:v>DG</x:v>
      </x:c>
      <x:c r="F39" s="32" t="str">
        <x:v>CAB</x:v>
      </x:c>
      <x:c r="G39" s="32" t="str">
        <x:v>Chargé d'étude</x:v>
      </x:c>
      <x:c r="H39" s="32" t="str">
        <x:v>cabinet</x:v>
      </x:c>
      <x:c r="I39" s="32" t="str">
        <x:v>Cabinet du DG</x:v>
      </x:c>
      <x:c r="J39" s="32" t="str">
        <x:v>Collaborateurs</x:v>
      </x:c>
      <x:c r="K39" s="36" t="str">
        <x:v>Non</x:v>
      </x:c>
      <x:c r="L39" s="32" t="str"/>
      <x:c r="M39" s="32" t="str">
        <x:v>collaborateur</x:v>
      </x:c>
      <x:c r="N39" s="32" t="str">
        <x:v>collaborateur</x:v>
      </x:c>
      <x:c r="O39" s="32" t="str">
        <x:v>Double interface</x:v>
      </x:c>
      <x:c r="P39" s="32" t="str">
        <x:v>Agence + périmètre propre</x:v>
      </x:c>
      <x:c r="Q39" s="32" t="str">
        <x:v>Oui</x:v>
      </x:c>
      <x:c r="R39" s="32" t="str">
        <x:v>Prêt pour import</x:v>
      </x:c>
      <x:c r="S39" s="36" t="str">
        <x:v>Oui</x:v>
      </x:c>
      <x:c r="T39" s="32" t="str">
        <x:v>Collaborateurs du Cabinet : vue élargie + actions propres. Ancien code DG/DGA non utilisé comme direction officielle ; rattachement corrigé vers Cabinet du DG.</x:v>
      </x:c>
      <x:c r="U39" s="32" t="str">
        <x:v>Prêt pour import</x:v>
      </x:c>
    </x:row>
    <x:row r="40">
      <x:c r="A40" s="36" t="n">
        <x:v>36</x:v>
      </x:c>
      <x:c r="B40" s="36" t="n">
        <x:v>36</x:v>
      </x:c>
      <x:c r="C40" s="32" t="str">
        <x:v>MABADY BEHOBE Dick-Daniel</x:v>
      </x:c>
      <x:c r="D40" s="32" t="str">
        <x:v>dick.mabady@anbg.ga</x:v>
      </x:c>
      <x:c r="E40" s="32" t="str">
        <x:v>DG</x:v>
      </x:c>
      <x:c r="F40" s="32" t="str">
        <x:v>CAB</x:v>
      </x:c>
      <x:c r="G40" s="32" t="str">
        <x:v>Chargé d'étude</x:v>
      </x:c>
      <x:c r="H40" s="32" t="str">
        <x:v>cabinet</x:v>
      </x:c>
      <x:c r="I40" s="32" t="str">
        <x:v>Cabinet du DG</x:v>
      </x:c>
      <x:c r="J40" s="32" t="str">
        <x:v>Collaborateurs</x:v>
      </x:c>
      <x:c r="K40" s="36" t="str">
        <x:v>Non</x:v>
      </x:c>
      <x:c r="L40" s="32" t="str"/>
      <x:c r="M40" s="32" t="str">
        <x:v>collaborateur</x:v>
      </x:c>
      <x:c r="N40" s="32" t="str">
        <x:v>collaborateur</x:v>
      </x:c>
      <x:c r="O40" s="32" t="str">
        <x:v>Double interface</x:v>
      </x:c>
      <x:c r="P40" s="32" t="str">
        <x:v>Agence + périmètre propre</x:v>
      </x:c>
      <x:c r="Q40" s="32" t="str">
        <x:v>Oui</x:v>
      </x:c>
      <x:c r="R40" s="32" t="str">
        <x:v>Prêt pour import</x:v>
      </x:c>
      <x:c r="S40" s="36" t="str">
        <x:v>Oui</x:v>
      </x:c>
      <x:c r="T40" s="32" t="str">
        <x:v>Collaborateurs du Cabinet : vue élargie + actions propres. Ancien code DG/DGA non utilisé comme direction officielle ; rattachement corrigé vers Cabinet du DG.</x:v>
      </x:c>
      <x:c r="U40" s="32" t="str">
        <x:v>Prêt pour import</x:v>
      </x:c>
    </x:row>
    <x:row r="41">
      <x:c r="A41" s="36" t="n">
        <x:v>37</x:v>
      </x:c>
      <x:c r="B41" s="36" t="n">
        <x:v>37</x:v>
      </x:c>
      <x:c r="C41" s="32" t="str">
        <x:v>MAYAGUI MANAMY Gilles</x:v>
      </x:c>
      <x:c r="D41" s="32" t="str">
        <x:v>gilles.mayagui@anbg.ga</x:v>
      </x:c>
      <x:c r="E41" s="32" t="str">
        <x:v>DG</x:v>
      </x:c>
      <x:c r="F41" s="32" t="str">
        <x:v>CAB</x:v>
      </x:c>
      <x:c r="G41" s="32" t="str">
        <x:v>Attaché de cabinet</x:v>
      </x:c>
      <x:c r="H41" s="32" t="str">
        <x:v>cabinet</x:v>
      </x:c>
      <x:c r="I41" s="32" t="str">
        <x:v>Cabinet du DG</x:v>
      </x:c>
      <x:c r="J41" s="32" t="str">
        <x:v>Collaborateurs</x:v>
      </x:c>
      <x:c r="K41" s="36" t="str">
        <x:v>Non</x:v>
      </x:c>
      <x:c r="L41" s="32" t="str"/>
      <x:c r="M41" s="32" t="str">
        <x:v>collaborateur</x:v>
      </x:c>
      <x:c r="N41" s="32" t="str">
        <x:v>collaborateur</x:v>
      </x:c>
      <x:c r="O41" s="32" t="str">
        <x:v>Double interface</x:v>
      </x:c>
      <x:c r="P41" s="32" t="str">
        <x:v>Agence + périmètre propre</x:v>
      </x:c>
      <x:c r="Q41" s="32" t="str">
        <x:v>Oui</x:v>
      </x:c>
      <x:c r="R41" s="32" t="str">
        <x:v>Prêt pour import</x:v>
      </x:c>
      <x:c r="S41" s="36" t="str">
        <x:v>Oui</x:v>
      </x:c>
      <x:c r="T41" s="32" t="str">
        <x:v>Collaborateurs du Cabinet : vue élargie + actions propres. Ancien code DG/DGA non utilisé comme direction officielle ; rattachement corrigé vers Cabinet du DG.</x:v>
      </x:c>
      <x:c r="U41" s="32" t="str">
        <x:v>Prêt pour import</x:v>
      </x:c>
    </x:row>
    <x:row r="42">
      <x:c r="A42" s="36" t="n">
        <x:v>38</x:v>
      </x:c>
      <x:c r="B42" s="36" t="n">
        <x:v>38</x:v>
      </x:c>
      <x:c r="C42" s="32" t="str">
        <x:v>MBAZOGO ELLA Urielle</x:v>
      </x:c>
      <x:c r="D42" s="32" t="str">
        <x:v>urielle.mbazogo@anbg.ga</x:v>
      </x:c>
      <x:c r="E42" s="32" t="str">
        <x:v>DG</x:v>
      </x:c>
      <x:c r="F42" s="32" t="str">
        <x:v>CAB</x:v>
      </x:c>
      <x:c r="G42" s="32" t="str">
        <x:v>Chargé d'étude</x:v>
      </x:c>
      <x:c r="H42" s="32" t="str">
        <x:v>cabinet</x:v>
      </x:c>
      <x:c r="I42" s="32" t="str">
        <x:v>Cabinet du DG</x:v>
      </x:c>
      <x:c r="J42" s="32" t="str">
        <x:v>Collaborateurs</x:v>
      </x:c>
      <x:c r="K42" s="36" t="str">
        <x:v>Non</x:v>
      </x:c>
      <x:c r="L42" s="32" t="str"/>
      <x:c r="M42" s="32" t="str">
        <x:v>collaborateur</x:v>
      </x:c>
      <x:c r="N42" s="32" t="str">
        <x:v>collaborateur</x:v>
      </x:c>
      <x:c r="O42" s="32" t="str">
        <x:v>Double interface</x:v>
      </x:c>
      <x:c r="P42" s="32" t="str">
        <x:v>Agence + périmètre propre</x:v>
      </x:c>
      <x:c r="Q42" s="32" t="str">
        <x:v>Oui</x:v>
      </x:c>
      <x:c r="R42" s="32" t="str">
        <x:v>Prêt pour import</x:v>
      </x:c>
      <x:c r="S42" s="36" t="str">
        <x:v>Oui</x:v>
      </x:c>
      <x:c r="T42" s="32" t="str">
        <x:v>Collaborateurs du Cabinet : vue élargie + actions propres. Ancien code DG/DGA non utilisé comme direction officielle ; rattachement corrigé vers Cabinet du DG.</x:v>
      </x:c>
      <x:c r="U42" s="32" t="str">
        <x:v>Prêt pour import</x:v>
      </x:c>
    </x:row>
    <x:row r="43">
      <x:c r="A43" s="36" t="n">
        <x:v>39</x:v>
      </x:c>
      <x:c r="B43" s="36" t="n">
        <x:v>39</x:v>
      </x:c>
      <x:c r="C43" s="32" t="str">
        <x:v>MOMBO Stecy Michel</x:v>
      </x:c>
      <x:c r="D43" s="32" t="str">
        <x:v>stecy.mombo@anbg.ga</x:v>
      </x:c>
      <x:c r="E43" s="32" t="str">
        <x:v>DG</x:v>
      </x:c>
      <x:c r="F43" s="32" t="str">
        <x:v>CAB</x:v>
      </x:c>
      <x:c r="G43" s="32" t="str">
        <x:v>Chargé d'étude</x:v>
      </x:c>
      <x:c r="H43" s="32" t="str">
        <x:v>cabinet</x:v>
      </x:c>
      <x:c r="I43" s="32" t="str">
        <x:v>Cabinet du DG</x:v>
      </x:c>
      <x:c r="J43" s="32" t="str">
        <x:v>Collaborateurs</x:v>
      </x:c>
      <x:c r="K43" s="36" t="str">
        <x:v>Non</x:v>
      </x:c>
      <x:c r="L43" s="32" t="str"/>
      <x:c r="M43" s="32" t="str">
        <x:v>collaborateur</x:v>
      </x:c>
      <x:c r="N43" s="32" t="str">
        <x:v>collaborateur</x:v>
      </x:c>
      <x:c r="O43" s="32" t="str">
        <x:v>Double interface</x:v>
      </x:c>
      <x:c r="P43" s="32" t="str">
        <x:v>Agence + périmètre propre</x:v>
      </x:c>
      <x:c r="Q43" s="32" t="str">
        <x:v>Oui</x:v>
      </x:c>
      <x:c r="R43" s="32" t="str">
        <x:v>Prêt pour import</x:v>
      </x:c>
      <x:c r="S43" s="36" t="str">
        <x:v>Oui</x:v>
      </x:c>
      <x:c r="T43" s="32" t="str">
        <x:v>Collaborateurs du Cabinet : vue élargie + actions propres. Ancien code DG/DGA non utilisé comme direction officielle ; rattachement corrigé vers Cabinet du DG.</x:v>
      </x:c>
      <x:c r="U43" s="32" t="str">
        <x:v>Prêt pour import</x:v>
      </x:c>
    </x:row>
    <x:row r="44">
      <x:c r="A44" s="36" t="n">
        <x:v>40</x:v>
      </x:c>
      <x:c r="B44" s="36" t="n">
        <x:v>40</x:v>
      </x:c>
      <x:c r="C44" s="32" t="str">
        <x:v>NGUEMA Nadia Pascale</x:v>
      </x:c>
      <x:c r="D44" s="32" t="str">
        <x:v>nadia.nguema@anbg.ga</x:v>
      </x:c>
      <x:c r="E44" s="32" t="str">
        <x:v>DG</x:v>
      </x:c>
      <x:c r="F44" s="32" t="str">
        <x:v>CAB</x:v>
      </x:c>
      <x:c r="G44" s="32" t="str">
        <x:v>Secrétaire DG</x:v>
      </x:c>
      <x:c r="H44" s="32" t="str">
        <x:v>cabinet</x:v>
      </x:c>
      <x:c r="I44" s="32" t="str">
        <x:v>Cabinet du DG</x:v>
      </x:c>
      <x:c r="J44" s="32" t="str">
        <x:v>Collaborateurs</x:v>
      </x:c>
      <x:c r="K44" s="36" t="str">
        <x:v>Non</x:v>
      </x:c>
      <x:c r="L44" s="32" t="str"/>
      <x:c r="M44" s="32" t="str">
        <x:v>collaborateur</x:v>
      </x:c>
      <x:c r="N44" s="32" t="str">
        <x:v>collaborateur</x:v>
      </x:c>
      <x:c r="O44" s="32" t="str">
        <x:v>Double interface</x:v>
      </x:c>
      <x:c r="P44" s="32" t="str">
        <x:v>Agence + périmètre propre</x:v>
      </x:c>
      <x:c r="Q44" s="32" t="str">
        <x:v>Oui</x:v>
      </x:c>
      <x:c r="R44" s="32" t="str">
        <x:v>Prêt pour import</x:v>
      </x:c>
      <x:c r="S44" s="36" t="str">
        <x:v>Oui</x:v>
      </x:c>
      <x:c r="T44" s="32" t="str">
        <x:v>Collaborateurs du Cabinet : vue élargie + actions propres. Ancien code DG/DGA non utilisé comme direction officielle ; rattachement corrigé vers Cabinet du DG.</x:v>
      </x:c>
      <x:c r="U44" s="32" t="str">
        <x:v>Prêt pour import</x:v>
      </x:c>
    </x:row>
    <x:row r="45">
      <x:c r="A45" s="36" t="n">
        <x:v>41</x:v>
      </x:c>
      <x:c r="B45" s="36" t="n">
        <x:v>41</x:v>
      </x:c>
      <x:c r="C45" s="32" t="str">
        <x:v>NTSAGA LEKELE Maureen</x:v>
      </x:c>
      <x:c r="D45" s="32" t="str">
        <x:v>maureen.ntsaga@anbg.ga</x:v>
      </x:c>
      <x:c r="E45" s="32" t="str">
        <x:v>DG</x:v>
      </x:c>
      <x:c r="F45" s="32" t="str">
        <x:v>CAB</x:v>
      </x:c>
      <x:c r="G45" s="32" t="str">
        <x:v>Chargé d'étude</x:v>
      </x:c>
      <x:c r="H45" s="32" t="str">
        <x:v>cabinet</x:v>
      </x:c>
      <x:c r="I45" s="32" t="str">
        <x:v>Cabinet du DG</x:v>
      </x:c>
      <x:c r="J45" s="32" t="str">
        <x:v>Collaborateurs</x:v>
      </x:c>
      <x:c r="K45" s="36" t="str">
        <x:v>Non</x:v>
      </x:c>
      <x:c r="L45" s="32" t="str"/>
      <x:c r="M45" s="32" t="str">
        <x:v>collaborateur</x:v>
      </x:c>
      <x:c r="N45" s="32" t="str">
        <x:v>collaborateur</x:v>
      </x:c>
      <x:c r="O45" s="32" t="str">
        <x:v>Double interface</x:v>
      </x:c>
      <x:c r="P45" s="32" t="str">
        <x:v>Agence + périmètre propre</x:v>
      </x:c>
      <x:c r="Q45" s="32" t="str">
        <x:v>Oui</x:v>
      </x:c>
      <x:c r="R45" s="32" t="str">
        <x:v>Prêt pour import</x:v>
      </x:c>
      <x:c r="S45" s="36" t="str">
        <x:v>Oui</x:v>
      </x:c>
      <x:c r="T45" s="32" t="str">
        <x:v>Collaborateurs du Cabinet : vue élargie + actions propres. Ancien code DG/DGA non utilisé comme direction officielle ; rattachement corrigé vers Cabinet du DG.</x:v>
      </x:c>
      <x:c r="U45" s="32" t="str">
        <x:v>Prêt pour import</x:v>
      </x:c>
    </x:row>
    <x:row r="46">
      <x:c r="A46" s="36" t="n">
        <x:v>42</x:v>
      </x:c>
      <x:c r="B46" s="36" t="n">
        <x:v>42</x:v>
      </x:c>
      <x:c r="C46" s="32" t="str">
        <x:v>SIBHA NZE NZONG Ornelia</x:v>
      </x:c>
      <x:c r="D46" s="32" t="str">
        <x:v>ornelia.sibha@anbg.ga</x:v>
      </x:c>
      <x:c r="E46" s="32" t="str">
        <x:v>DG</x:v>
      </x:c>
      <x:c r="F46" s="32" t="str">
        <x:v>CAB</x:v>
      </x:c>
      <x:c r="G46" s="32" t="str">
        <x:v>Secrétaire DG</x:v>
      </x:c>
      <x:c r="H46" s="32" t="str">
        <x:v>cabinet</x:v>
      </x:c>
      <x:c r="I46" s="32" t="str">
        <x:v>Cabinet du DG</x:v>
      </x:c>
      <x:c r="J46" s="32" t="str">
        <x:v>Collaborateurs</x:v>
      </x:c>
      <x:c r="K46" s="36" t="str">
        <x:v>Non</x:v>
      </x:c>
      <x:c r="L46" s="32" t="str"/>
      <x:c r="M46" s="32" t="str">
        <x:v>collaborateur</x:v>
      </x:c>
      <x:c r="N46" s="32" t="str">
        <x:v>collaborateur</x:v>
      </x:c>
      <x:c r="O46" s="32" t="str">
        <x:v>Double interface</x:v>
      </x:c>
      <x:c r="P46" s="32" t="str">
        <x:v>Agence + périmètre propre</x:v>
      </x:c>
      <x:c r="Q46" s="32" t="str">
        <x:v>Oui</x:v>
      </x:c>
      <x:c r="R46" s="32" t="str">
        <x:v>Prêt pour import</x:v>
      </x:c>
      <x:c r="S46" s="36" t="str">
        <x:v>Oui</x:v>
      </x:c>
      <x:c r="T46" s="32" t="str">
        <x:v>Collaborateurs du Cabinet : vue élargie + actions propres. Ancien code DG/DGA non utilisé comme direction officielle ; rattachement corrigé vers Cabinet du DG.</x:v>
      </x:c>
      <x:c r="U46" s="32" t="str">
        <x:v>Prêt pour import</x:v>
      </x:c>
    </x:row>
    <x:row r="47">
      <x:c r="A47" s="36" t="n">
        <x:v>43</x:v>
      </x:c>
      <x:c r="B47" s="36" t="n">
        <x:v>43</x:v>
      </x:c>
      <x:c r="C47" s="32" t="str">
        <x:v>À compléter</x:v>
      </x:c>
      <x:c r="D47" s="32" t="str">
        <x:v>dga@anbg.ga</x:v>
      </x:c>
      <x:c r="E47" s="32" t="str">
        <x:v>DGA</x:v>
      </x:c>
      <x:c r="F47" s="32" t="str">
        <x:v>DIRECTION</x:v>
      </x:c>
      <x:c r="G47" s="32" t="str">
        <x:v>Directeur Général Adjoint</x:v>
      </x:c>
      <x:c r="H47" s="32" t="str">
        <x:v>direction</x:v>
      </x:c>
      <x:c r="I47" s="32" t="str">
        <x:v>Cabinet du DG</x:v>
      </x:c>
      <x:c r="J47" s="32" t="str">
        <x:v>Direction Générale</x:v>
      </x:c>
      <x:c r="K47" s="36" t="str">
        <x:v>Non</x:v>
      </x:c>
      <x:c r="L47" s="32" t="str"/>
      <x:c r="M47" s="32" t="str">
        <x:v>DG</x:v>
      </x:c>
      <x:c r="N47" s="32" t="str">
        <x:v>dg</x:v>
      </x:c>
      <x:c r="O47" s="32" t="str">
        <x:v>Supervision globale + opérationnel</x:v>
      </x:c>
      <x:c r="P47" s="32" t="str">
        <x:v>Agence</x:v>
      </x:c>
      <x:c r="Q47" s="32" t="str">
        <x:v>Oui</x:v>
      </x:c>
      <x:c r="R47" s="57" t="str">
        <x:v>À compléter</x:v>
      </x:c>
      <x:c r="S47" s="57" t="str">
        <x:v>Non</x:v>
      </x:c>
      <x:c r="T47" s="32" t="str">
        <x:v>Responsable de niveau direction / DG selon la fonction source. Compte placeholder à compléter. Ancien code DG/DGA non utilisé comme direction officielle ; rattachement corrigé vers Cabinet du DG.</x:v>
      </x:c>
      <x:c r="U47" s="32" t="str">
        <x:v>Renseigner le nom réel avant import.</x:v>
      </x:c>
    </x:row>
    <x:row r="48">
      <x:c r="A48" s="36" t="n">
        <x:v>44</x:v>
      </x:c>
      <x:c r="B48" s="36" t="n">
        <x:v>44</x:v>
      </x:c>
      <x:c r="C48" s="32" t="str">
        <x:v>ANGUE ALADE Kassirath</x:v>
      </x:c>
      <x:c r="D48" s="32" t="str">
        <x:v>kassirath.angue@anbg.ga</x:v>
      </x:c>
      <x:c r="E48" s="32" t="str">
        <x:v>SCIQ</x:v>
      </x:c>
      <x:c r="F48" s="32" t="str">
        <x:v>CTRLINT</x:v>
      </x:c>
      <x:c r="G48" s="32" t="str">
        <x:v>Contrôleur interne</x:v>
      </x:c>
      <x:c r="H48" s="32" t="str">
        <x:v>planification</x:v>
      </x:c>
      <x:c r="I48" s="32" t="str">
        <x:v>Cabinet du DG</x:v>
      </x:c>
      <x:c r="J48" s="32" t="str">
        <x:v>SCIQ</x:v>
      </x:c>
      <x:c r="K48" s="36" t="str">
        <x:v>Non</x:v>
      </x:c>
      <x:c r="L48" s="32" t="str"/>
      <x:c r="M48" s="32" t="str">
        <x:v>SCIQ</x:v>
      </x:c>
      <x:c r="N48" s="32" t="str">
        <x:v>sciq</x:v>
      </x:c>
      <x:c r="O48" s="32" t="str">
        <x:v>Double interface</x:v>
      </x:c>
      <x:c r="P48" s="32" t="str">
        <x:v>Agence + périmètre propre</x:v>
      </x:c>
      <x:c r="Q48" s="32" t="str">
        <x:v>Oui</x:v>
      </x:c>
      <x:c r="R48" s="32" t="str">
        <x:v>Prêt pour import</x:v>
      </x:c>
      <x:c r="S48" s="36" t="str">
        <x:v>Oui</x:v>
      </x:c>
      <x:c r="T48" s="32" t="str">
        <x:v>SCIQ : contrôle, suivi, consolidation et propres PTA/actions.</x:v>
      </x:c>
      <x:c r="U48" s="32" t="str">
        <x:v>Prêt pour import</x:v>
      </x:c>
    </x:row>
    <x:row r="49">
      <x:c r="A49" s="36" t="n">
        <x:v>45</x:v>
      </x:c>
      <x:c r="B49" s="36" t="n">
        <x:v>45</x:v>
      </x:c>
      <x:c r="C49" s="32" t="str">
        <x:v>DOGUI Marie Raphaelle</x:v>
      </x:c>
      <x:c r="D49" s="32" t="str">
        <x:v>raphaelle.dogui@anbg.ga</x:v>
      </x:c>
      <x:c r="E49" s="32" t="str">
        <x:v>DS</x:v>
      </x:c>
      <x:c r="F49" s="32" t="str">
        <x:v>PLANIF</x:v>
      </x:c>
      <x:c r="G49" s="32" t="str">
        <x:v>Suivi-évaluation</x:v>
      </x:c>
      <x:c r="H49" s="32" t="str">
        <x:v>planification</x:v>
      </x:c>
      <x:c r="I49" s="32" t="str">
        <x:v>DS</x:v>
      </x:c>
      <x:c r="J49" s="32" t="str">
        <x:v>Planification</x:v>
      </x:c>
      <x:c r="K49" s="36" t="str">
        <x:v>Non</x:v>
      </x:c>
      <x:c r="L49" s="32" t="str"/>
      <x:c r="M49" s="32" t="str">
        <x:v>planification</x:v>
      </x:c>
      <x:c r="N49" s="32" t="str">
        <x:v>planification</x:v>
      </x:c>
      <x:c r="O49" s="32" t="str">
        <x:v>Double interface</x:v>
      </x:c>
      <x:c r="P49" s="32" t="str">
        <x:v>Agence + périmètre propre</x:v>
      </x:c>
      <x:c r="Q49" s="32" t="str">
        <x:v>Oui</x:v>
      </x:c>
      <x:c r="R49" s="32" t="str">
        <x:v>Prêt pour import</x:v>
      </x:c>
      <x:c r="S49" s="36" t="str">
        <x:v>Oui</x:v>
      </x:c>
      <x:c r="T49" s="32" t="str">
        <x:v>Planification DS : mêmes droits fonctionnels que SCIQ, mais rattachement DS.</x:v>
      </x:c>
      <x:c r="U49" s="32" t="str">
        <x:v>Prêt pour import</x:v>
      </x:c>
    </x:row>
    <x:row r="50">
      <x:c r="A50" s="36" t="n">
        <x:v>46</x:v>
      </x:c>
      <x:c r="B50" s="36" t="n">
        <x:v>47</x:v>
      </x:c>
      <x:c r="C50" s="32" t="str">
        <x:v>KOMBA Joelle</x:v>
      </x:c>
      <x:c r="D50" s="32" t="str">
        <x:v>joelle.komba@anbg.ga</x:v>
      </x:c>
      <x:c r="E50" s="32" t="str">
        <x:v>DS</x:v>
      </x:c>
      <x:c r="F50" s="32" t="str">
        <x:v>PLANIF</x:v>
      </x:c>
      <x:c r="G50" s="32" t="str">
        <x:v>Partenariats</x:v>
      </x:c>
      <x:c r="H50" s="32" t="str">
        <x:v>planification</x:v>
      </x:c>
      <x:c r="I50" s="32" t="str">
        <x:v>DS</x:v>
      </x:c>
      <x:c r="J50" s="32" t="str">
        <x:v>Planification</x:v>
      </x:c>
      <x:c r="K50" s="36" t="str">
        <x:v>Non</x:v>
      </x:c>
      <x:c r="L50" s="32" t="str"/>
      <x:c r="M50" s="32" t="str">
        <x:v>planification</x:v>
      </x:c>
      <x:c r="N50" s="32" t="str">
        <x:v>planification</x:v>
      </x:c>
      <x:c r="O50" s="32" t="str">
        <x:v>Double interface</x:v>
      </x:c>
      <x:c r="P50" s="32" t="str">
        <x:v>Agence + périmètre propre</x:v>
      </x:c>
      <x:c r="Q50" s="32" t="str">
        <x:v>Oui</x:v>
      </x:c>
      <x:c r="R50" s="32" t="str">
        <x:v>Prêt pour import</x:v>
      </x:c>
      <x:c r="S50" s="36" t="str">
        <x:v>Oui</x:v>
      </x:c>
      <x:c r="T50" s="32" t="str">
        <x:v>Planification DS : mêmes droits fonctionnels que SCIQ, mais rattachement DS.</x:v>
      </x:c>
      <x:c r="U50" s="32" t="str">
        <x:v>Prêt pour import</x:v>
      </x:c>
    </x:row>
    <x:row r="51">
      <x:c r="A51" s="36" t="n">
        <x:v>47</x:v>
      </x:c>
      <x:c r="B51" s="36" t="n">
        <x:v>48</x:v>
      </x:c>
      <x:c r="C51" s="32" t="str">
        <x:v>LEANDRY MBIRA</x:v>
      </x:c>
      <x:c r="D51" s="32" t="str">
        <x:v>leandry.mbira@anbg.ga</x:v>
      </x:c>
      <x:c r="E51" s="32" t="str">
        <x:v>DS</x:v>
      </x:c>
      <x:c r="F51" s="32" t="str">
        <x:v>PLANIF</x:v>
      </x:c>
      <x:c r="G51" s="32" t="str">
        <x:v>Chargé statistiques</x:v>
      </x:c>
      <x:c r="H51" s="32" t="str">
        <x:v>planification</x:v>
      </x:c>
      <x:c r="I51" s="32" t="str">
        <x:v>DS</x:v>
      </x:c>
      <x:c r="J51" s="32" t="str">
        <x:v>Planification</x:v>
      </x:c>
      <x:c r="K51" s="36" t="str">
        <x:v>Non</x:v>
      </x:c>
      <x:c r="L51" s="32" t="str"/>
      <x:c r="M51" s="32" t="str">
        <x:v>planification</x:v>
      </x:c>
      <x:c r="N51" s="32" t="str">
        <x:v>planification</x:v>
      </x:c>
      <x:c r="O51" s="32" t="str">
        <x:v>Double interface</x:v>
      </x:c>
      <x:c r="P51" s="32" t="str">
        <x:v>Agence + périmètre propre</x:v>
      </x:c>
      <x:c r="Q51" s="32" t="str">
        <x:v>Oui</x:v>
      </x:c>
      <x:c r="R51" s="32" t="str">
        <x:v>Prêt pour import</x:v>
      </x:c>
      <x:c r="S51" s="36" t="str">
        <x:v>Oui</x:v>
      </x:c>
      <x:c r="T51" s="32" t="str">
        <x:v>Planification DS : mêmes droits fonctionnels que SCIQ, mais rattachement DS.</x:v>
      </x:c>
      <x:c r="U51" s="32" t="str">
        <x:v>Prêt pour import</x:v>
      </x:c>
    </x:row>
    <x:row r="52">
      <x:c r="A52" s="36" t="n">
        <x:v>48</x:v>
      </x:c>
      <x:c r="B52" s="36" t="n">
        <x:v>49</x:v>
      </x:c>
      <x:c r="C52" s="32" t="str">
        <x:v>MOUELLE MASSALA NDONGO Aaron</x:v>
      </x:c>
      <x:c r="D52" s="32" t="str">
        <x:v>aaron.mouelle@anbg.ga</x:v>
      </x:c>
      <x:c r="E52" s="32" t="str">
        <x:v>SCIQ</x:v>
      </x:c>
      <x:c r="F52" s="32" t="str">
        <x:v>CTRLINT</x:v>
      </x:c>
      <x:c r="G52" s="32" t="str">
        <x:v>Contrôleur interne</x:v>
      </x:c>
      <x:c r="H52" s="32" t="str">
        <x:v>planification</x:v>
      </x:c>
      <x:c r="I52" s="32" t="str">
        <x:v>Cabinet du DG</x:v>
      </x:c>
      <x:c r="J52" s="32" t="str">
        <x:v>SCIQ</x:v>
      </x:c>
      <x:c r="K52" s="36" t="str">
        <x:v>Non</x:v>
      </x:c>
      <x:c r="L52" s="32" t="str"/>
      <x:c r="M52" s="32" t="str">
        <x:v>SCIQ</x:v>
      </x:c>
      <x:c r="N52" s="32" t="str">
        <x:v>sciq</x:v>
      </x:c>
      <x:c r="O52" s="32" t="str">
        <x:v>Double interface</x:v>
      </x:c>
      <x:c r="P52" s="32" t="str">
        <x:v>Agence + périmètre propre</x:v>
      </x:c>
      <x:c r="Q52" s="32" t="str">
        <x:v>Oui</x:v>
      </x:c>
      <x:c r="R52" s="32" t="str">
        <x:v>Prêt pour import</x:v>
      </x:c>
      <x:c r="S52" s="36" t="str">
        <x:v>Oui</x:v>
      </x:c>
      <x:c r="T52" s="32" t="str">
        <x:v>SCIQ : contrôle, suivi, consolidation et propres PTA/actions.</x:v>
      </x:c>
      <x:c r="U52" s="32" t="str">
        <x:v>Prêt pour import</x:v>
      </x:c>
    </x:row>
    <x:row r="53">
      <x:c r="A53" s="36" t="n">
        <x:v>49</x:v>
      </x:c>
      <x:c r="B53" s="36" t="n">
        <x:v>50</x:v>
      </x:c>
      <x:c r="C53" s="32" t="str">
        <x:v>NDOUTOUME Jean Servais</x:v>
      </x:c>
      <x:c r="D53" s="32" t="str">
        <x:v>servais.ndoutoume@anbg.ga</x:v>
      </x:c>
      <x:c r="E53" s="32" t="str">
        <x:v>DS</x:v>
      </x:c>
      <x:c r="F53" s="32" t="str">
        <x:v>PLANIF</x:v>
      </x:c>
      <x:c r="G53" s="32" t="str">
        <x:v>Chef service Planification</x:v>
      </x:c>
      <x:c r="H53" s="32" t="str">
        <x:v>planification</x:v>
      </x:c>
      <x:c r="I53" s="32" t="str">
        <x:v>DS</x:v>
      </x:c>
      <x:c r="J53" s="41" t="str">
        <x:v>Planification</x:v>
      </x:c>
      <x:c r="K53" s="41" t="str">
        <x:v>Oui</x:v>
      </x:c>
      <x:c r="L53" s="32" t="str">
        <x:v>Chef de service</x:v>
      </x:c>
      <x:c r="M53" s="32" t="str">
        <x:v>chef de service</x:v>
      </x:c>
      <x:c r="N53" s="32" t="str">
        <x:v>chef_service</x:v>
      </x:c>
      <x:c r="O53" s="32" t="str">
        <x:v>Pilotage service/unité + opérationnel</x:v>
      </x:c>
      <x:c r="P53" s="32" t="str">
        <x:v>Périmètre service/unité</x:v>
      </x:c>
      <x:c r="Q53" s="32" t="str">
        <x:v>Oui</x:v>
      </x:c>
      <x:c r="R53" s="32" t="str">
        <x:v>Prêt pour import</x:v>
      </x:c>
      <x:c r="S53" s="36" t="str">
        <x:v>Oui</x:v>
      </x:c>
      <x:c r="T53" s="32" t="str">
        <x:v>Chef confirmé car la fonction/observation source mentionne explicitement chef ou responsable UCAS.</x:v>
      </x:c>
      <x:c r="U53" s="32" t="str">
        <x:v>Prêt pour import</x:v>
      </x:c>
    </x:row>
    <x:row r="54">
      <x:c r="A54" s="36" t="n">
        <x:v>50</x:v>
      </x:c>
      <x:c r="B54" s="36" t="n">
        <x:v>52</x:v>
      </x:c>
      <x:c r="C54" s="32" t="str">
        <x:v>NGUEBET MOGOULA Hilaire</x:v>
      </x:c>
      <x:c r="D54" s="32" t="str">
        <x:v>hilaire.nguebet@anbg.ga</x:v>
      </x:c>
      <x:c r="E54" s="32" t="str">
        <x:v>SCIQ</x:v>
      </x:c>
      <x:c r="F54" s="32" t="str">
        <x:v>CTRLINT</x:v>
      </x:c>
      <x:c r="G54" s="32" t="str">
        <x:v>Chef service SCIQ</x:v>
      </x:c>
      <x:c r="H54" s="32" t="str">
        <x:v>planification</x:v>
      </x:c>
      <x:c r="I54" s="32" t="str">
        <x:v>Cabinet du DG</x:v>
      </x:c>
      <x:c r="J54" s="41" t="str">
        <x:v>SCIQ</x:v>
      </x:c>
      <x:c r="K54" s="41" t="str">
        <x:v>Oui</x:v>
      </x:c>
      <x:c r="L54" s="32" t="str">
        <x:v>Chef d’unité Cabinet</x:v>
      </x:c>
      <x:c r="M54" s="32" t="str">
        <x:v>chef unité</x:v>
      </x:c>
      <x:c r="N54" s="32" t="str">
        <x:v>chef_unite</x:v>
      </x:c>
      <x:c r="O54" s="32" t="str">
        <x:v>Pilotage service/unité + opérationnel</x:v>
      </x:c>
      <x:c r="P54" s="32" t="str">
        <x:v>Périmètre service/unité</x:v>
      </x:c>
      <x:c r="Q54" s="32" t="str">
        <x:v>Oui</x:v>
      </x:c>
      <x:c r="R54" s="32" t="str">
        <x:v>Prêt pour import</x:v>
      </x:c>
      <x:c r="S54" s="36" t="str">
        <x:v>Oui</x:v>
      </x:c>
      <x:c r="T54" s="32" t="str">
        <x:v>Chef confirmé car la fonction/observation source mentionne explicitement chef ou responsable UCAS.</x:v>
      </x:c>
      <x:c r="U54" s="32" t="str">
        <x:v>Prêt pour import</x:v>
      </x:c>
    </x:row>
    <x:row r="55">
      <x:c r="A55" s="36" t="n">
        <x:v>51</x:v>
      </x:c>
      <x:c r="B55" s="36" t="n">
        <x:v>53</x:v>
      </x:c>
      <x:c r="C55" s="32" t="str">
        <x:v>NTSITSIGUI Yannis</x:v>
      </x:c>
      <x:c r="D55" s="32" t="str">
        <x:v>yannis.ntsitsigui@anbg.ga</x:v>
      </x:c>
      <x:c r="E55" s="32" t="str">
        <x:v>DS</x:v>
      </x:c>
      <x:c r="F55" s="32" t="str">
        <x:v>PLANIF</x:v>
      </x:c>
      <x:c r="G55" s="32" t="str">
        <x:v>Chargé suivi académique</x:v>
      </x:c>
      <x:c r="H55" s="32" t="str">
        <x:v>planification</x:v>
      </x:c>
      <x:c r="I55" s="32" t="str">
        <x:v>DS</x:v>
      </x:c>
      <x:c r="J55" s="32" t="str">
        <x:v>Planification</x:v>
      </x:c>
      <x:c r="K55" s="36" t="str">
        <x:v>Non</x:v>
      </x:c>
      <x:c r="L55" s="32" t="str"/>
      <x:c r="M55" s="32" t="str">
        <x:v>planification</x:v>
      </x:c>
      <x:c r="N55" s="32" t="str">
        <x:v>planification</x:v>
      </x:c>
      <x:c r="O55" s="32" t="str">
        <x:v>Double interface</x:v>
      </x:c>
      <x:c r="P55" s="32" t="str">
        <x:v>Agence + périmètre propre</x:v>
      </x:c>
      <x:c r="Q55" s="32" t="str">
        <x:v>Oui</x:v>
      </x:c>
      <x:c r="R55" s="32" t="str">
        <x:v>Prêt pour import</x:v>
      </x:c>
      <x:c r="S55" s="36" t="str">
        <x:v>Oui</x:v>
      </x:c>
      <x:c r="T55" s="32" t="str">
        <x:v>Planification DS : mêmes droits fonctionnels que SCIQ, mais rattachement DS.</x:v>
      </x:c>
      <x:c r="U55" s="32" t="str">
        <x:v>Prêt pour import</x:v>
      </x:c>
    </x:row>
    <x:row r="56">
      <x:c r="A56" s="36" t="n">
        <x:v>52</x:v>
      </x:c>
      <x:c r="B56" s="36" t="n">
        <x:v>54</x:v>
      </x:c>
      <x:c r="C56" s="32" t="str">
        <x:v>À compléter</x:v>
      </x:c>
      <x:c r="D56" s="32" t="str">
        <x:v>agent.ucas@anbg.ga</x:v>
      </x:c>
      <x:c r="E56" s="32" t="str">
        <x:v>UCAS</x:v>
      </x:c>
      <x:c r="F56" s="32" t="str">
        <x:v>UCAS</x:v>
      </x:c>
      <x:c r="G56" s="32" t="str">
        <x:v>Agent UCAS à compléter</x:v>
      </x:c>
      <x:c r="H56" s="32" t="str">
        <x:v>agent</x:v>
      </x:c>
      <x:c r="I56" s="32" t="str">
        <x:v>Cabinet du DG</x:v>
      </x:c>
      <x:c r="J56" s="32" t="str">
        <x:v>UCAS</x:v>
      </x:c>
      <x:c r="K56" s="36" t="str">
        <x:v>Non</x:v>
      </x:c>
      <x:c r="L56" s="32" t="str"/>
      <x:c r="M56" s="32" t="str">
        <x:v>UCAS</x:v>
      </x:c>
      <x:c r="N56" s="32" t="str">
        <x:v>ucas</x:v>
      </x:c>
      <x:c r="O56" s="32" t="str">
        <x:v>Opérationnelle simple</x:v>
      </x:c>
      <x:c r="P56" s="32" t="str">
        <x:v>Périmètre propre</x:v>
      </x:c>
      <x:c r="Q56" s="32" t="str">
        <x:v>Oui</x:v>
      </x:c>
      <x:c r="R56" s="57" t="str">
        <x:v>À compléter</x:v>
      </x:c>
      <x:c r="S56" s="57" t="str">
        <x:v>Non</x:v>
      </x:c>
      <x:c r="T56" s="32" t="str">
        <x:v>UCAS reste opérationnel simple, sans double interface globale. Compte placeholder à compléter.</x:v>
      </x:c>
      <x:c r="U56" s="32" t="str">
        <x:v>Renseigner le nom réel avant import.</x:v>
      </x:c>
    </x:row>
    <x:row r="57">
      <x:c r="A57" s="36" t="n">
        <x:v>53</x:v>
      </x:c>
      <x:c r="B57" s="36" t="n">
        <x:v>55</x:v>
      </x:c>
      <x:c r="C57" s="32" t="str">
        <x:v>À compléter</x:v>
      </x:c>
      <x:c r="D57" s="32" t="str">
        <x:v>ucas@anbg.ga</x:v>
      </x:c>
      <x:c r="E57" s="32" t="str">
        <x:v>UCAS</x:v>
      </x:c>
      <x:c r="F57" s="32" t="str">
        <x:v>UCAS</x:v>
      </x:c>
      <x:c r="G57" s="32" t="str">
        <x:v>Placeholder responsable UCAS</x:v>
      </x:c>
      <x:c r="H57" s="32" t="str">
        <x:v>service</x:v>
      </x:c>
      <x:c r="I57" s="32" t="str">
        <x:v>Cabinet du DG</x:v>
      </x:c>
      <x:c r="J57" s="32" t="str">
        <x:v>UCAS</x:v>
      </x:c>
      <x:c r="K57" s="36" t="str">
        <x:v>Non</x:v>
      </x:c>
      <x:c r="L57" s="32" t="str"/>
      <x:c r="M57" s="32" t="str">
        <x:v>UCAS</x:v>
      </x:c>
      <x:c r="N57" s="32" t="str">
        <x:v>ucas</x:v>
      </x:c>
      <x:c r="O57" s="32" t="str">
        <x:v>Opérationnelle simple</x:v>
      </x:c>
      <x:c r="P57" s="32" t="str">
        <x:v>Périmètre propre</x:v>
      </x:c>
      <x:c r="Q57" s="32" t="str">
        <x:v>Oui</x:v>
      </x:c>
      <x:c r="R57" s="57" t="str">
        <x:v>À contrôler</x:v>
      </x:c>
      <x:c r="S57" s="57" t="str">
        <x:v>Non</x:v>
      </x:c>
      <x:c r="T57" s="32" t="str">
        <x:v>Placeholder UCAS potentiellement doublon du responsable réel MBAZOGO NGUEMA Suzy ; ne pas importer tant que ce compte n’est pas justifié.</x:v>
      </x:c>
      <x:c r="U57" s="32" t="str">
        <x:v>Confirmer suppression ou remplacement par un utilisateur réel.</x:v>
      </x:c>
    </x:row>
    <x:row r="58">
      <x:c r="A58" s="36" t="n">
        <x:v>54</x:v>
      </x:c>
      <x:c r="B58" s="36" t="n">
        <x:v>56</x:v>
      </x:c>
      <x:c r="C58" s="32" t="str">
        <x:v>Directeur DS</x:v>
      </x:c>
      <x:c r="D58" s="32" t="str">
        <x:v>directeur.ds@anbg.ga</x:v>
      </x:c>
      <x:c r="E58" s="32" t="str">
        <x:v>DS</x:v>
      </x:c>
      <x:c r="F58" s="32" t="str">
        <x:v>DIRECTION</x:v>
      </x:c>
      <x:c r="G58" s="32" t="str">
        <x:v>Directeur de la Scolarité</x:v>
      </x:c>
      <x:c r="H58" s="32" t="str">
        <x:v>direction</x:v>
      </x:c>
      <x:c r="I58" s="32" t="str">
        <x:v>DS</x:v>
      </x:c>
      <x:c r="J58" s="32" t="str">
        <x:v>DIRECTION</x:v>
      </x:c>
      <x:c r="K58" s="36" t="str">
        <x:v>Non</x:v>
      </x:c>
      <x:c r="L58" s="32" t="str"/>
      <x:c r="M58" s="32" t="str">
        <x:v>directeur</x:v>
      </x:c>
      <x:c r="N58" s="32" t="str">
        <x:v>directeur</x:v>
      </x:c>
      <x:c r="O58" s="32" t="str">
        <x:v>Pilotage direction + opérationnel</x:v>
      </x:c>
      <x:c r="P58" s="32" t="str">
        <x:v>Direction</x:v>
      </x:c>
      <x:c r="Q58" s="32" t="str">
        <x:v>Oui</x:v>
      </x:c>
      <x:c r="R58" s="32" t="str">
        <x:v>Prêt pour import</x:v>
      </x:c>
      <x:c r="S58" s="36" t="str">
        <x:v>Oui</x:v>
      </x:c>
      <x:c r="T58" s="32" t="str">
        <x:v>Responsable de niveau direction / DG selon la fonction source.</x:v>
      </x:c>
      <x:c r="U58" s="32" t="str">
        <x:v>Prêt pour import</x:v>
      </x:c>
    </x:row>
    <x:row r="59">
      <x:c r="A59" s="36" t="n">
        <x:v>55</x:v>
      </x:c>
      <x:c r="B59" s="36" t="n">
        <x:v>57</x:v>
      </x:c>
      <x:c r="C59" s="32" t="str">
        <x:v>AZIZET AKEWA Claude</x:v>
      </x:c>
      <x:c r="D59" s="32" t="str">
        <x:v>claude.azizet@anbg.ga</x:v>
      </x:c>
      <x:c r="E59" s="32" t="str">
        <x:v>DS</x:v>
      </x:c>
      <x:c r="F59" s="32" t="str">
        <x:v>EB</x:v>
      </x:c>
      <x:c r="G59" s="32" t="str">
        <x:v>Gestionnaire</x:v>
      </x:c>
      <x:c r="H59" s="32" t="str">
        <x:v>agent</x:v>
      </x:c>
      <x:c r="I59" s="32" t="str">
        <x:v>DS</x:v>
      </x:c>
      <x:c r="J59" s="32" t="str">
        <x:v>EB</x:v>
      </x:c>
      <x:c r="K59" s="36" t="str">
        <x:v>Non</x:v>
      </x:c>
      <x:c r="L59" s="32" t="str"/>
      <x:c r="M59" s="32" t="str">
        <x:v>agent</x:v>
      </x:c>
      <x:c r="N59" s="32" t="str">
        <x:v>agent</x:v>
      </x:c>
      <x:c r="O59" s="32" t="str">
        <x:v>Opérationnelle</x:v>
      </x:c>
      <x:c r="P59" s="32" t="str">
        <x:v>Périmètre propre</x:v>
      </x:c>
      <x:c r="Q59" s="32" t="str">
        <x:v>Oui</x:v>
      </x:c>
      <x:c r="R59" s="57" t="str">
        <x:v>À confirmer</x:v>
      </x:c>
      <x:c r="S59" s="57" t="str">
        <x:v>Oui</x:v>
      </x:c>
      <x:c r="T59" s="32" t="str">
        <x:v>Agent opérationnel. EB est conservé comme libellé distinct ; aucune conversion automatique vers ENB.</x:v>
      </x:c>
      <x:c r="U59" s="32" t="str">
        <x:v>Confirmer si EB reste service distinct ou ancienne codification.</x:v>
      </x:c>
    </x:row>
    <x:row r="60">
      <x:c r="A60" s="36" t="n">
        <x:v>56</x:v>
      </x:c>
      <x:c r="B60" s="36" t="n">
        <x:v>58</x:v>
      </x:c>
      <x:c r="C60" s="32" t="str">
        <x:v>BISSONGUI MAKITA Raissa</x:v>
      </x:c>
      <x:c r="D60" s="32" t="str">
        <x:v>raissa.bissongui@anbg.ga</x:v>
      </x:c>
      <x:c r="E60" s="32" t="str">
        <x:v>DS</x:v>
      </x:c>
      <x:c r="F60" s="32" t="str">
        <x:v>EB</x:v>
      </x:c>
      <x:c r="G60" s="32" t="str">
        <x:v>Gestionnaire senior</x:v>
      </x:c>
      <x:c r="H60" s="32" t="str">
        <x:v>agent</x:v>
      </x:c>
      <x:c r="I60" s="32" t="str">
        <x:v>DS</x:v>
      </x:c>
      <x:c r="J60" s="32" t="str">
        <x:v>EB</x:v>
      </x:c>
      <x:c r="K60" s="36" t="str">
        <x:v>Non</x:v>
      </x:c>
      <x:c r="L60" s="32" t="str"/>
      <x:c r="M60" s="32" t="str">
        <x:v>agent</x:v>
      </x:c>
      <x:c r="N60" s="32" t="str">
        <x:v>agent</x:v>
      </x:c>
      <x:c r="O60" s="32" t="str">
        <x:v>Opérationnelle</x:v>
      </x:c>
      <x:c r="P60" s="32" t="str">
        <x:v>Périmètre propre</x:v>
      </x:c>
      <x:c r="Q60" s="32" t="str">
        <x:v>Oui</x:v>
      </x:c>
      <x:c r="R60" s="57" t="str">
        <x:v>À confirmer</x:v>
      </x:c>
      <x:c r="S60" s="57" t="str">
        <x:v>Oui</x:v>
      </x:c>
      <x:c r="T60" s="32" t="str">
        <x:v>Agent opérationnel. EB est conservé comme libellé distinct ; aucune conversion automatique vers ENB.</x:v>
      </x:c>
      <x:c r="U60" s="32" t="str">
        <x:v>Confirmer si EB reste service distinct ou ancienne codification.</x:v>
      </x:c>
    </x:row>
    <x:row r="61">
      <x:c r="A61" s="36" t="n">
        <x:v>57</x:v>
      </x:c>
      <x:c r="B61" s="36" t="n">
        <x:v>59</x:v>
      </x:c>
      <x:c r="C61" s="32" t="str">
        <x:v>LEKA Noeline</x:v>
      </x:c>
      <x:c r="D61" s="32" t="str">
        <x:v>noeline.leka@anbg.ga</x:v>
      </x:c>
      <x:c r="E61" s="32" t="str">
        <x:v>DS</x:v>
      </x:c>
      <x:c r="F61" s="32" t="str">
        <x:v>EB</x:v>
      </x:c>
      <x:c r="G61" s="32" t="str">
        <x:v>Gestionnaire senior</x:v>
      </x:c>
      <x:c r="H61" s="32" t="str">
        <x:v>agent</x:v>
      </x:c>
      <x:c r="I61" s="32" t="str">
        <x:v>DS</x:v>
      </x:c>
      <x:c r="J61" s="32" t="str">
        <x:v>EB</x:v>
      </x:c>
      <x:c r="K61" s="36" t="str">
        <x:v>Non</x:v>
      </x:c>
      <x:c r="L61" s="32" t="str"/>
      <x:c r="M61" s="32" t="str">
        <x:v>agent</x:v>
      </x:c>
      <x:c r="N61" s="32" t="str">
        <x:v>agent</x:v>
      </x:c>
      <x:c r="O61" s="32" t="str">
        <x:v>Opérationnelle</x:v>
      </x:c>
      <x:c r="P61" s="32" t="str">
        <x:v>Périmètre propre</x:v>
      </x:c>
      <x:c r="Q61" s="32" t="str">
        <x:v>Oui</x:v>
      </x:c>
      <x:c r="R61" s="57" t="str">
        <x:v>À confirmer</x:v>
      </x:c>
      <x:c r="S61" s="57" t="str">
        <x:v>Oui</x:v>
      </x:c>
      <x:c r="T61" s="32" t="str">
        <x:v>Agent opérationnel. EB est conservé comme libellé distinct ; aucune conversion automatique vers ENB.</x:v>
      </x:c>
      <x:c r="U61" s="32" t="str">
        <x:v>Confirmer si EB reste service distinct ou ancienne codification.</x:v>
      </x:c>
    </x:row>
    <x:row r="62">
      <x:c r="A62" s="36" t="n">
        <x:v>58</x:v>
      </x:c>
      <x:c r="B62" s="36" t="n">
        <x:v>60</x:v>
      </x:c>
      <x:c r="C62" s="32" t="str">
        <x:v>LEMBA Sigrid</x:v>
      </x:c>
      <x:c r="D62" s="32" t="str">
        <x:v>sigrid.lemba@anbg.ga</x:v>
      </x:c>
      <x:c r="E62" s="32" t="str">
        <x:v>DS</x:v>
      </x:c>
      <x:c r="F62" s="32" t="str">
        <x:v>EB</x:v>
      </x:c>
      <x:c r="G62" s="32" t="str">
        <x:v>Gestionnaire</x:v>
      </x:c>
      <x:c r="H62" s="32" t="str">
        <x:v>agent</x:v>
      </x:c>
      <x:c r="I62" s="32" t="str">
        <x:v>DS</x:v>
      </x:c>
      <x:c r="J62" s="32" t="str">
        <x:v>EB</x:v>
      </x:c>
      <x:c r="K62" s="36" t="str">
        <x:v>Non</x:v>
      </x:c>
      <x:c r="L62" s="32" t="str"/>
      <x:c r="M62" s="32" t="str">
        <x:v>agent</x:v>
      </x:c>
      <x:c r="N62" s="32" t="str">
        <x:v>agent</x:v>
      </x:c>
      <x:c r="O62" s="32" t="str">
        <x:v>Opérationnelle</x:v>
      </x:c>
      <x:c r="P62" s="32" t="str">
        <x:v>Périmètre propre</x:v>
      </x:c>
      <x:c r="Q62" s="32" t="str">
        <x:v>Oui</x:v>
      </x:c>
      <x:c r="R62" s="57" t="str">
        <x:v>À confirmer</x:v>
      </x:c>
      <x:c r="S62" s="57" t="str">
        <x:v>Oui</x:v>
      </x:c>
      <x:c r="T62" s="32" t="str">
        <x:v>Agent opérationnel. EB est conservé comme libellé distinct ; aucune conversion automatique vers ENB.</x:v>
      </x:c>
      <x:c r="U62" s="32" t="str">
        <x:v>Confirmer si EB reste service distinct ou ancienne codification.</x:v>
      </x:c>
    </x:row>
    <x:row r="63">
      <x:c r="A63" s="36" t="n">
        <x:v>59</x:v>
      </x:c>
      <x:c r="B63" s="36" t="n">
        <x:v>61</x:v>
      </x:c>
      <x:c r="C63" s="32" t="str">
        <x:v>MAKANGOU Zita</x:v>
      </x:c>
      <x:c r="D63" s="32" t="str">
        <x:v>zita.makangou@anbg.ga</x:v>
      </x:c>
      <x:c r="E63" s="32" t="str">
        <x:v>DS</x:v>
      </x:c>
      <x:c r="F63" s="32" t="str">
        <x:v>EB</x:v>
      </x:c>
      <x:c r="G63" s="32" t="str">
        <x:v>Gestionnaire senior</x:v>
      </x:c>
      <x:c r="H63" s="32" t="str">
        <x:v>agent</x:v>
      </x:c>
      <x:c r="I63" s="32" t="str">
        <x:v>DS</x:v>
      </x:c>
      <x:c r="J63" s="32" t="str">
        <x:v>EB</x:v>
      </x:c>
      <x:c r="K63" s="36" t="str">
        <x:v>Non</x:v>
      </x:c>
      <x:c r="L63" s="32" t="str"/>
      <x:c r="M63" s="32" t="str">
        <x:v>agent</x:v>
      </x:c>
      <x:c r="N63" s="32" t="str">
        <x:v>agent</x:v>
      </x:c>
      <x:c r="O63" s="32" t="str">
        <x:v>Opérationnelle</x:v>
      </x:c>
      <x:c r="P63" s="32" t="str">
        <x:v>Périmètre propre</x:v>
      </x:c>
      <x:c r="Q63" s="32" t="str">
        <x:v>Oui</x:v>
      </x:c>
      <x:c r="R63" s="57" t="str">
        <x:v>À confirmer</x:v>
      </x:c>
      <x:c r="S63" s="57" t="str">
        <x:v>Oui</x:v>
      </x:c>
      <x:c r="T63" s="32" t="str">
        <x:v>Agent opérationnel. EB est conservé comme libellé distinct ; aucune conversion automatique vers ENB.</x:v>
      </x:c>
      <x:c r="U63" s="32" t="str">
        <x:v>Confirmer si EB reste service distinct ou ancienne codification.</x:v>
      </x:c>
    </x:row>
    <x:row r="64">
      <x:c r="A64" s="36" t="n">
        <x:v>60</x:v>
      </x:c>
      <x:c r="B64" s="36" t="n">
        <x:v>62</x:v>
      </x:c>
      <x:c r="C64" s="32" t="str">
        <x:v>MAVIOGA Leger</x:v>
      </x:c>
      <x:c r="D64" s="32" t="str">
        <x:v>leger.mavioga@anbg.ga</x:v>
      </x:c>
      <x:c r="E64" s="32" t="str">
        <x:v>DS</x:v>
      </x:c>
      <x:c r="F64" s="32" t="str">
        <x:v>EB</x:v>
      </x:c>
      <x:c r="G64" s="32" t="str">
        <x:v>Gestionnaire senior</x:v>
      </x:c>
      <x:c r="H64" s="32" t="str">
        <x:v>agent</x:v>
      </x:c>
      <x:c r="I64" s="32" t="str">
        <x:v>DS</x:v>
      </x:c>
      <x:c r="J64" s="32" t="str">
        <x:v>EB</x:v>
      </x:c>
      <x:c r="K64" s="36" t="str">
        <x:v>Non</x:v>
      </x:c>
      <x:c r="L64" s="32" t="str"/>
      <x:c r="M64" s="32" t="str">
        <x:v>agent</x:v>
      </x:c>
      <x:c r="N64" s="32" t="str">
        <x:v>agent</x:v>
      </x:c>
      <x:c r="O64" s="32" t="str">
        <x:v>Opérationnelle</x:v>
      </x:c>
      <x:c r="P64" s="32" t="str">
        <x:v>Périmètre propre</x:v>
      </x:c>
      <x:c r="Q64" s="32" t="str">
        <x:v>Oui</x:v>
      </x:c>
      <x:c r="R64" s="57" t="str">
        <x:v>À confirmer</x:v>
      </x:c>
      <x:c r="S64" s="57" t="str">
        <x:v>Oui</x:v>
      </x:c>
      <x:c r="T64" s="32" t="str">
        <x:v>Agent opérationnel. EB est conservé comme libellé distinct ; aucune conversion automatique vers ENB.</x:v>
      </x:c>
      <x:c r="U64" s="32" t="str">
        <x:v>Confirmer si EB reste service distinct ou ancienne codification.</x:v>
      </x:c>
    </x:row>
    <x:row r="65">
      <x:c r="A65" s="36" t="n">
        <x:v>61</x:v>
      </x:c>
      <x:c r="B65" s="36" t="n">
        <x:v>63</x:v>
      </x:c>
      <x:c r="C65" s="32" t="str">
        <x:v>MENDOME Nadine</x:v>
      </x:c>
      <x:c r="D65" s="32" t="str">
        <x:v>nadine.mendome@anbg.ga</x:v>
      </x:c>
      <x:c r="E65" s="32" t="str">
        <x:v>DS</x:v>
      </x:c>
      <x:c r="F65" s="32" t="str">
        <x:v>EB</x:v>
      </x:c>
      <x:c r="G65" s="32" t="str">
        <x:v>Gestionnaire senior</x:v>
      </x:c>
      <x:c r="H65" s="32" t="str">
        <x:v>agent</x:v>
      </x:c>
      <x:c r="I65" s="32" t="str">
        <x:v>DS</x:v>
      </x:c>
      <x:c r="J65" s="32" t="str">
        <x:v>EB</x:v>
      </x:c>
      <x:c r="K65" s="36" t="str">
        <x:v>Non</x:v>
      </x:c>
      <x:c r="L65" s="32" t="str"/>
      <x:c r="M65" s="32" t="str">
        <x:v>agent</x:v>
      </x:c>
      <x:c r="N65" s="32" t="str">
        <x:v>agent</x:v>
      </x:c>
      <x:c r="O65" s="32" t="str">
        <x:v>Opérationnelle</x:v>
      </x:c>
      <x:c r="P65" s="32" t="str">
        <x:v>Périmètre propre</x:v>
      </x:c>
      <x:c r="Q65" s="32" t="str">
        <x:v>Oui</x:v>
      </x:c>
      <x:c r="R65" s="57" t="str">
        <x:v>À confirmer</x:v>
      </x:c>
      <x:c r="S65" s="57" t="str">
        <x:v>Oui</x:v>
      </x:c>
      <x:c r="T65" s="32" t="str">
        <x:v>Agent opérationnel. EB est conservé comme libellé distinct ; aucune conversion automatique vers ENB.</x:v>
      </x:c>
      <x:c r="U65" s="32" t="str">
        <x:v>Confirmer si EB reste service distinct ou ancienne codification.</x:v>
      </x:c>
    </x:row>
    <x:row r="66">
      <x:c r="A66" s="36" t="n">
        <x:v>62</x:v>
      </x:c>
      <x:c r="B66" s="36" t="n">
        <x:v>64</x:v>
      </x:c>
      <x:c r="C66" s="32" t="str">
        <x:v>MOUKAGNI Estelle</x:v>
      </x:c>
      <x:c r="D66" s="32" t="str">
        <x:v>estelle.moukagni@anbg.ga</x:v>
      </x:c>
      <x:c r="E66" s="32" t="str">
        <x:v>DS</x:v>
      </x:c>
      <x:c r="F66" s="32" t="str">
        <x:v>EB</x:v>
      </x:c>
      <x:c r="G66" s="32" t="str">
        <x:v>Gestionnaire</x:v>
      </x:c>
      <x:c r="H66" s="32" t="str">
        <x:v>agent</x:v>
      </x:c>
      <x:c r="I66" s="32" t="str">
        <x:v>DS</x:v>
      </x:c>
      <x:c r="J66" s="32" t="str">
        <x:v>EB</x:v>
      </x:c>
      <x:c r="K66" s="36" t="str">
        <x:v>Non</x:v>
      </x:c>
      <x:c r="L66" s="32" t="str"/>
      <x:c r="M66" s="32" t="str">
        <x:v>agent</x:v>
      </x:c>
      <x:c r="N66" s="32" t="str">
        <x:v>agent</x:v>
      </x:c>
      <x:c r="O66" s="32" t="str">
        <x:v>Opérationnelle</x:v>
      </x:c>
      <x:c r="P66" s="32" t="str">
        <x:v>Périmètre propre</x:v>
      </x:c>
      <x:c r="Q66" s="32" t="str">
        <x:v>Oui</x:v>
      </x:c>
      <x:c r="R66" s="57" t="str">
        <x:v>À confirmer</x:v>
      </x:c>
      <x:c r="S66" s="57" t="str">
        <x:v>Oui</x:v>
      </x:c>
      <x:c r="T66" s="32" t="str">
        <x:v>Agent opérationnel. EB est conservé comme libellé distinct ; aucune conversion automatique vers ENB.</x:v>
      </x:c>
      <x:c r="U66" s="32" t="str">
        <x:v>Confirmer si EB reste service distinct ou ancienne codification.</x:v>
      </x:c>
    </x:row>
    <x:row r="67">
      <x:c r="A67" s="36" t="n">
        <x:v>63</x:v>
      </x:c>
      <x:c r="B67" s="36" t="n">
        <x:v>65</x:v>
      </x:c>
      <x:c r="C67" s="32" t="str">
        <x:v>NGOUBILI Lidy</x:v>
      </x:c>
      <x:c r="D67" s="32" t="str">
        <x:v>lidy.ngoubili@anbg.ga</x:v>
      </x:c>
      <x:c r="E67" s="32" t="str">
        <x:v>DS</x:v>
      </x:c>
      <x:c r="F67" s="32" t="str">
        <x:v>EB</x:v>
      </x:c>
      <x:c r="G67" s="32" t="str">
        <x:v>Gestionnaire</x:v>
      </x:c>
      <x:c r="H67" s="32" t="str">
        <x:v>agent</x:v>
      </x:c>
      <x:c r="I67" s="32" t="str">
        <x:v>DS</x:v>
      </x:c>
      <x:c r="J67" s="32" t="str">
        <x:v>EB</x:v>
      </x:c>
      <x:c r="K67" s="36" t="str">
        <x:v>Non</x:v>
      </x:c>
      <x:c r="L67" s="32" t="str"/>
      <x:c r="M67" s="32" t="str">
        <x:v>agent</x:v>
      </x:c>
      <x:c r="N67" s="32" t="str">
        <x:v>agent</x:v>
      </x:c>
      <x:c r="O67" s="32" t="str">
        <x:v>Opérationnelle</x:v>
      </x:c>
      <x:c r="P67" s="32" t="str">
        <x:v>Périmètre propre</x:v>
      </x:c>
      <x:c r="Q67" s="32" t="str">
        <x:v>Oui</x:v>
      </x:c>
      <x:c r="R67" s="57" t="str">
        <x:v>À confirmer</x:v>
      </x:c>
      <x:c r="S67" s="57" t="str">
        <x:v>Oui</x:v>
      </x:c>
      <x:c r="T67" s="32" t="str">
        <x:v>Agent opérationnel. EB est conservé comme libellé distinct ; aucune conversion automatique vers ENB.</x:v>
      </x:c>
      <x:c r="U67" s="32" t="str">
        <x:v>Confirmer si EB reste service distinct ou ancienne codification.</x:v>
      </x:c>
    </x:row>
    <x:row r="68">
      <x:c r="A68" s="36" t="n">
        <x:v>64</x:v>
      </x:c>
      <x:c r="B68" s="36" t="n">
        <x:v>66</x:v>
      </x:c>
      <x:c r="C68" s="32" t="str">
        <x:v>NKOURA Charly</x:v>
      </x:c>
      <x:c r="D68" s="32" t="str">
        <x:v>charly.nkoura@anbg.ga</x:v>
      </x:c>
      <x:c r="E68" s="32" t="str">
        <x:v>DS</x:v>
      </x:c>
      <x:c r="F68" s="32" t="str">
        <x:v>EB</x:v>
      </x:c>
      <x:c r="G68" s="32" t="str">
        <x:v>Gestionnaire</x:v>
      </x:c>
      <x:c r="H68" s="32" t="str">
        <x:v>agent</x:v>
      </x:c>
      <x:c r="I68" s="32" t="str">
        <x:v>DS</x:v>
      </x:c>
      <x:c r="J68" s="32" t="str">
        <x:v>EB</x:v>
      </x:c>
      <x:c r="K68" s="36" t="str">
        <x:v>Non</x:v>
      </x:c>
      <x:c r="L68" s="32" t="str"/>
      <x:c r="M68" s="32" t="str">
        <x:v>agent</x:v>
      </x:c>
      <x:c r="N68" s="32" t="str">
        <x:v>agent</x:v>
      </x:c>
      <x:c r="O68" s="32" t="str">
        <x:v>Opérationnelle</x:v>
      </x:c>
      <x:c r="P68" s="32" t="str">
        <x:v>Périmètre propre</x:v>
      </x:c>
      <x:c r="Q68" s="32" t="str">
        <x:v>Oui</x:v>
      </x:c>
      <x:c r="R68" s="57" t="str">
        <x:v>À confirmer</x:v>
      </x:c>
      <x:c r="S68" s="57" t="str">
        <x:v>Oui</x:v>
      </x:c>
      <x:c r="T68" s="32" t="str">
        <x:v>Agent opérationnel. EB est conservé comme libellé distinct ; aucune conversion automatique vers ENB.</x:v>
      </x:c>
      <x:c r="U68" s="32" t="str">
        <x:v>Confirmer si EB reste service distinct ou ancienne codification.</x:v>
      </x:c>
    </x:row>
    <x:row r="69">
      <x:c r="A69" s="36" t="n">
        <x:v>65</x:v>
      </x:c>
      <x:c r="B69" s="36" t="n">
        <x:v>67</x:v>
      </x:c>
      <x:c r="C69" s="32" t="str">
        <x:v>NYANGUI Sandrine</x:v>
      </x:c>
      <x:c r="D69" s="32" t="str">
        <x:v>sandrine.nyangui@anbg.ga</x:v>
      </x:c>
      <x:c r="E69" s="32" t="str">
        <x:v>DS</x:v>
      </x:c>
      <x:c r="F69" s="32" t="str">
        <x:v>EB</x:v>
      </x:c>
      <x:c r="G69" s="32" t="str">
        <x:v>Gestionnaire senior</x:v>
      </x:c>
      <x:c r="H69" s="32" t="str">
        <x:v>agent</x:v>
      </x:c>
      <x:c r="I69" s="32" t="str">
        <x:v>DS</x:v>
      </x:c>
      <x:c r="J69" s="32" t="str">
        <x:v>EB</x:v>
      </x:c>
      <x:c r="K69" s="36" t="str">
        <x:v>Non</x:v>
      </x:c>
      <x:c r="L69" s="32" t="str"/>
      <x:c r="M69" s="32" t="str">
        <x:v>agent</x:v>
      </x:c>
      <x:c r="N69" s="32" t="str">
        <x:v>agent</x:v>
      </x:c>
      <x:c r="O69" s="32" t="str">
        <x:v>Opérationnelle</x:v>
      </x:c>
      <x:c r="P69" s="32" t="str">
        <x:v>Périmètre propre</x:v>
      </x:c>
      <x:c r="Q69" s="32" t="str">
        <x:v>Oui</x:v>
      </x:c>
      <x:c r="R69" s="57" t="str">
        <x:v>À confirmer</x:v>
      </x:c>
      <x:c r="S69" s="57" t="str">
        <x:v>Oui</x:v>
      </x:c>
      <x:c r="T69" s="32" t="str">
        <x:v>Agent opérationnel. EB est conservé comme libellé distinct ; aucune conversion automatique vers ENB.</x:v>
      </x:c>
      <x:c r="U69" s="32" t="str">
        <x:v>Confirmer si EB reste service distinct ou ancienne codification.</x:v>
      </x:c>
    </x:row>
    <x:row r="70">
      <x:c r="A70" s="36" t="n">
        <x:v>66</x:v>
      </x:c>
      <x:c r="B70" s="36" t="n">
        <x:v>68</x:v>
      </x:c>
      <x:c r="C70" s="32" t="str">
        <x:v>SIMBOU Laurencienne</x:v>
      </x:c>
      <x:c r="D70" s="32" t="str">
        <x:v>laurencienne.simbou@anbg.ga</x:v>
      </x:c>
      <x:c r="E70" s="32" t="str">
        <x:v>DS</x:v>
      </x:c>
      <x:c r="F70" s="32" t="str">
        <x:v>EB</x:v>
      </x:c>
      <x:c r="G70" s="32" t="str">
        <x:v>Gestionnaire</x:v>
      </x:c>
      <x:c r="H70" s="32" t="str">
        <x:v>agent</x:v>
      </x:c>
      <x:c r="I70" s="32" t="str">
        <x:v>DS</x:v>
      </x:c>
      <x:c r="J70" s="32" t="str">
        <x:v>EB</x:v>
      </x:c>
      <x:c r="K70" s="36" t="str">
        <x:v>Non</x:v>
      </x:c>
      <x:c r="L70" s="32" t="str"/>
      <x:c r="M70" s="32" t="str">
        <x:v>agent</x:v>
      </x:c>
      <x:c r="N70" s="32" t="str">
        <x:v>agent</x:v>
      </x:c>
      <x:c r="O70" s="32" t="str">
        <x:v>Opérationnelle</x:v>
      </x:c>
      <x:c r="P70" s="32" t="str">
        <x:v>Périmètre propre</x:v>
      </x:c>
      <x:c r="Q70" s="32" t="str">
        <x:v>Oui</x:v>
      </x:c>
      <x:c r="R70" s="57" t="str">
        <x:v>À confirmer</x:v>
      </x:c>
      <x:c r="S70" s="57" t="str">
        <x:v>Oui</x:v>
      </x:c>
      <x:c r="T70" s="32" t="str">
        <x:v>Agent opérationnel. EB est conservé comme libellé distinct ; aucune conversion automatique vers ENB.</x:v>
      </x:c>
      <x:c r="U70" s="32" t="str">
        <x:v>Confirmer si EB reste service distinct ou ancienne codification.</x:v>
      </x:c>
    </x:row>
    <x:row r="71">
      <x:c r="A71" s="36" t="n">
        <x:v>67</x:v>
      </x:c>
      <x:c r="B71" s="36" t="n">
        <x:v>69</x:v>
      </x:c>
      <x:c r="C71" s="32" t="str">
        <x:v>MAGNANGANI ERIMI Belinda</x:v>
      </x:c>
      <x:c r="D71" s="32" t="str">
        <x:v>belinda.magnangani@anbg.ga</x:v>
      </x:c>
      <x:c r="E71" s="32" t="str">
        <x:v>DS</x:v>
      </x:c>
      <x:c r="F71" s="32" t="str">
        <x:v>EB</x:v>
      </x:c>
      <x:c r="G71" s="32" t="str">
        <x:v>Chef service EB</x:v>
      </x:c>
      <x:c r="H71" s="32" t="str">
        <x:v>service</x:v>
      </x:c>
      <x:c r="I71" s="32" t="str">
        <x:v>DS</x:v>
      </x:c>
      <x:c r="J71" s="41" t="str">
        <x:v>EB</x:v>
      </x:c>
      <x:c r="K71" s="41" t="str">
        <x:v>Oui</x:v>
      </x:c>
      <x:c r="L71" s="32" t="str">
        <x:v>Chef de service</x:v>
      </x:c>
      <x:c r="M71" s="32" t="str">
        <x:v>chef de service</x:v>
      </x:c>
      <x:c r="N71" s="32" t="str">
        <x:v>chef_service</x:v>
      </x:c>
      <x:c r="O71" s="32" t="str">
        <x:v>Pilotage service/unité + opérationnel</x:v>
      </x:c>
      <x:c r="P71" s="32" t="str">
        <x:v>Périmètre service/unité</x:v>
      </x:c>
      <x:c r="Q71" s="32" t="str">
        <x:v>Oui</x:v>
      </x:c>
      <x:c r="R71" s="57" t="str">
        <x:v>À confirmer</x:v>
      </x:c>
      <x:c r="S71" s="57" t="str">
        <x:v>Oui</x:v>
      </x:c>
      <x:c r="T71" s="32" t="str">
        <x:v>Chef confirmé car la fonction/observation source mentionne explicitement chef ou responsable UCAS. EB est conservé comme libellé distinct ; aucune conversion automatique vers ENB.</x:v>
      </x:c>
      <x:c r="U71" s="32" t="str">
        <x:v>Confirmer si EB reste service distinct ou ancienne codification.</x:v>
      </x:c>
    </x:row>
    <x:row r="72">
      <x:c r="A72" s="36" t="n">
        <x:v>68</x:v>
      </x:c>
      <x:c r="B72" s="36" t="n">
        <x:v>70</x:v>
      </x:c>
      <x:c r="C72" s="32" t="str">
        <x:v>MENOUETON Codjo</x:v>
      </x:c>
      <x:c r="D72" s="32" t="str">
        <x:v>codjo.menoueton@anbg.ga</x:v>
      </x:c>
      <x:c r="E72" s="32" t="str">
        <x:v>DS</x:v>
      </x:c>
      <x:c r="F72" s="32" t="str">
        <x:v>EB</x:v>
      </x:c>
      <x:c r="G72" s="32" t="str">
        <x:v>Responsable pôle</x:v>
      </x:c>
      <x:c r="H72" s="32" t="str">
        <x:v>service</x:v>
      </x:c>
      <x:c r="I72" s="32" t="str">
        <x:v>DS</x:v>
      </x:c>
      <x:c r="J72" s="32" t="str">
        <x:v>EB</x:v>
      </x:c>
      <x:c r="K72" s="36" t="str">
        <x:v>Non</x:v>
      </x:c>
      <x:c r="L72" s="32" t="str"/>
      <x:c r="M72" s="32" t="str">
        <x:v>agent</x:v>
      </x:c>
      <x:c r="N72" s="32" t="str">
        <x:v>agent</x:v>
      </x:c>
      <x:c r="O72" s="32" t="str">
        <x:v>Opérationnelle</x:v>
      </x:c>
      <x:c r="P72" s="32" t="str">
        <x:v>Périmètre propre</x:v>
      </x:c>
      <x:c r="Q72" s="32" t="str">
        <x:v>Oui</x:v>
      </x:c>
      <x:c r="R72" s="57" t="str">
        <x:v>À confirmer</x:v>
      </x:c>
      <x:c r="S72" s="57" t="str">
        <x:v>Oui</x:v>
      </x:c>
      <x:c r="T72" s="32" t="str">
        <x:v>Rôle source 'service' conservé comme information source, mais pas transformé en chef : la fonction ne mentionne pas chef de service/unité. EB est conservé comme libellé distinct ; aucune conversion automatique vers ENB.</x:v>
      </x:c>
      <x:c r="U72" s="32" t="str">
        <x:v>Confirmer si EB reste service distinct ou ancienne codification.</x:v>
      </x:c>
    </x:row>
    <x:row r="73">
      <x:c r="A73" s="36" t="n">
        <x:v>69</x:v>
      </x:c>
      <x:c r="B73" s="36" t="n">
        <x:v>71</x:v>
      </x:c>
      <x:c r="C73" s="32" t="str">
        <x:v>TOUNGOU Carine</x:v>
      </x:c>
      <x:c r="D73" s="32" t="str">
        <x:v>carine.toungou@anbg.ga</x:v>
      </x:c>
      <x:c r="E73" s="32" t="str">
        <x:v>DS</x:v>
      </x:c>
      <x:c r="F73" s="32" t="str">
        <x:v>EB</x:v>
      </x:c>
      <x:c r="G73" s="32" t="str">
        <x:v>Responsable pôle étranger</x:v>
      </x:c>
      <x:c r="H73" s="32" t="str">
        <x:v>service</x:v>
      </x:c>
      <x:c r="I73" s="32" t="str">
        <x:v>DS</x:v>
      </x:c>
      <x:c r="J73" s="32" t="str">
        <x:v>EB</x:v>
      </x:c>
      <x:c r="K73" s="36" t="str">
        <x:v>Non</x:v>
      </x:c>
      <x:c r="L73" s="32" t="str"/>
      <x:c r="M73" s="32" t="str">
        <x:v>agent</x:v>
      </x:c>
      <x:c r="N73" s="32" t="str">
        <x:v>agent</x:v>
      </x:c>
      <x:c r="O73" s="32" t="str">
        <x:v>Opérationnelle</x:v>
      </x:c>
      <x:c r="P73" s="32" t="str">
        <x:v>Périmètre propre</x:v>
      </x:c>
      <x:c r="Q73" s="32" t="str">
        <x:v>Oui</x:v>
      </x:c>
      <x:c r="R73" s="57" t="str">
        <x:v>À confirmer</x:v>
      </x:c>
      <x:c r="S73" s="57" t="str">
        <x:v>Oui</x:v>
      </x:c>
      <x:c r="T73" s="32" t="str">
        <x:v>Rôle source 'service' conservé comme information source, mais pas transformé en chef : la fonction ne mentionne pas chef de service/unité. EB est conservé comme libellé distinct ; aucune conversion automatique vers ENB.</x:v>
      </x:c>
      <x:c r="U73" s="32" t="str">
        <x:v>Confirmer si EB reste service distinct ou ancienne codification.</x:v>
      </x:c>
    </x:row>
    <x:row r="74">
      <x:c r="A74" s="36" t="n">
        <x:v>70</x:v>
      </x:c>
      <x:c r="B74" s="36" t="n">
        <x:v>72</x:v>
      </x:c>
      <x:c r="C74" s="32" t="str">
        <x:v>SIMBA Marie Louise</x:v>
      </x:c>
      <x:c r="D74" s="32" t="str">
        <x:v>marie.simba@anbg.ga</x:v>
      </x:c>
      <x:c r="E74" s="32" t="str">
        <x:v>DS</x:v>
      </x:c>
      <x:c r="F74" s="32" t="str">
        <x:v>ENB</x:v>
      </x:c>
      <x:c r="G74" s="32" t="str">
        <x:v>Chef service ENB</x:v>
      </x:c>
      <x:c r="H74" s="32" t="str">
        <x:v>service</x:v>
      </x:c>
      <x:c r="I74" s="32" t="str">
        <x:v>DS</x:v>
      </x:c>
      <x:c r="J74" s="41" t="str">
        <x:v>ENB</x:v>
      </x:c>
      <x:c r="K74" s="41" t="str">
        <x:v>Oui</x:v>
      </x:c>
      <x:c r="L74" s="32" t="str">
        <x:v>Chef de service</x:v>
      </x:c>
      <x:c r="M74" s="32" t="str">
        <x:v>chef de service</x:v>
      </x:c>
      <x:c r="N74" s="32" t="str">
        <x:v>chef_service</x:v>
      </x:c>
      <x:c r="O74" s="32" t="str">
        <x:v>Pilotage service/unité + opérationnel</x:v>
      </x:c>
      <x:c r="P74" s="32" t="str">
        <x:v>Périmètre service/unité</x:v>
      </x:c>
      <x:c r="Q74" s="32" t="str">
        <x:v>Oui</x:v>
      </x:c>
      <x:c r="R74" s="32" t="str">
        <x:v>Prêt pour import</x:v>
      </x:c>
      <x:c r="S74" s="36" t="str">
        <x:v>Oui</x:v>
      </x:c>
      <x:c r="T74" s="32" t="str">
        <x:v>Chef confirmé car la fonction/observation source mentionne explicitement chef ou responsable UCAS.</x:v>
      </x:c>
      <x:c r="U74" s="32" t="str">
        <x:v>Prêt pour import</x:v>
      </x:c>
    </x:row>
    <x:row r="75">
      <x:c r="A75" s="36" t="n">
        <x:v>71</x:v>
      </x:c>
      <x:c r="B75" s="36" t="n">
        <x:v>73</x:v>
      </x:c>
      <x:c r="C75" s="32" t="str">
        <x:v>Directeur DSIC</x:v>
      </x:c>
      <x:c r="D75" s="32" t="str">
        <x:v>directeur.dsic@anbg.ga</x:v>
      </x:c>
      <x:c r="E75" s="32" t="str">
        <x:v>DSIC</x:v>
      </x:c>
      <x:c r="F75" s="32" t="str">
        <x:v>DIRECTION</x:v>
      </x:c>
      <x:c r="G75" s="32" t="str">
        <x:v>Directeur des Systèmes d'Information et de la Communication</x:v>
      </x:c>
      <x:c r="H75" s="32" t="str">
        <x:v>direction</x:v>
      </x:c>
      <x:c r="I75" s="32" t="str">
        <x:v>DSIC</x:v>
      </x:c>
      <x:c r="J75" s="32" t="str">
        <x:v>DIRECTION</x:v>
      </x:c>
      <x:c r="K75" s="36" t="str">
        <x:v>Non</x:v>
      </x:c>
      <x:c r="L75" s="32" t="str"/>
      <x:c r="M75" s="32" t="str">
        <x:v>directeur</x:v>
      </x:c>
      <x:c r="N75" s="32" t="str">
        <x:v>directeur</x:v>
      </x:c>
      <x:c r="O75" s="32" t="str">
        <x:v>Pilotage direction + opérationnel</x:v>
      </x:c>
      <x:c r="P75" s="32" t="str">
        <x:v>Direction</x:v>
      </x:c>
      <x:c r="Q75" s="32" t="str">
        <x:v>Oui</x:v>
      </x:c>
      <x:c r="R75" s="32" t="str">
        <x:v>Prêt pour import</x:v>
      </x:c>
      <x:c r="S75" s="36" t="str">
        <x:v>Oui</x:v>
      </x:c>
      <x:c r="T75" s="32" t="str">
        <x:v>Responsable de niveau direction / DG selon la fonction source.</x:v>
      </x:c>
      <x:c r="U75" s="32" t="str">
        <x:v>Prêt pour import</x:v>
      </x:c>
    </x:row>
    <x:row r="76">
      <x:c r="A76" s="36" t="n">
        <x:v>72</x:v>
      </x:c>
      <x:c r="B76" s="36" t="n">
        <x:v>74</x:v>
      </x:c>
      <x:c r="C76" s="32" t="str">
        <x:v>MBAZOO Christel</x:v>
      </x:c>
      <x:c r="D76" s="32" t="str">
        <x:v>christel.mbazoo@anbg.ga</x:v>
      </x:c>
      <x:c r="E76" s="32" t="str">
        <x:v>DSIC</x:v>
      </x:c>
      <x:c r="F76" s="32" t="str">
        <x:v>CRP</x:v>
      </x:c>
      <x:c r="G76" s="32" t="str">
        <x:v>Chargé communication</x:v>
      </x:c>
      <x:c r="H76" s="32" t="str">
        <x:v>agent</x:v>
      </x:c>
      <x:c r="I76" s="32" t="str">
        <x:v>DSIC</x:v>
      </x:c>
      <x:c r="J76" s="32" t="str">
        <x:v>CRP</x:v>
      </x:c>
      <x:c r="K76" s="36" t="str">
        <x:v>Non</x:v>
      </x:c>
      <x:c r="L76" s="32" t="str"/>
      <x:c r="M76" s="32" t="str">
        <x:v>agent</x:v>
      </x:c>
      <x:c r="N76" s="32" t="str">
        <x:v>agent</x:v>
      </x:c>
      <x:c r="O76" s="32" t="str">
        <x:v>Opérationnelle</x:v>
      </x:c>
      <x:c r="P76" s="32" t="str">
        <x:v>Périmètre propre</x:v>
      </x:c>
      <x:c r="Q76" s="32" t="str">
        <x:v>Oui</x:v>
      </x:c>
      <x:c r="R76" s="32" t="str">
        <x:v>Prêt pour import</x:v>
      </x:c>
      <x:c r="S76" s="36" t="str">
        <x:v>Oui</x:v>
      </x:c>
      <x:c r="T76" s="32" t="str">
        <x:v>Agent opérationnel.</x:v>
      </x:c>
      <x:c r="U76" s="32" t="str">
        <x:v>Prêt pour import</x:v>
      </x:c>
    </x:row>
    <x:row r="77">
      <x:c r="A77" s="36" t="n">
        <x:v>73</x:v>
      </x:c>
      <x:c r="B77" s="36" t="n">
        <x:v>75</x:v>
      </x:c>
      <x:c r="C77" s="32" t="str">
        <x:v>NGOMA Lucrecia</x:v>
      </x:c>
      <x:c r="D77" s="32" t="str">
        <x:v>lucrecia.ngoma@anbg.ga</x:v>
      </x:c>
      <x:c r="E77" s="32" t="str">
        <x:v>DSIC</x:v>
      </x:c>
      <x:c r="F77" s="32" t="str">
        <x:v>CRP</x:v>
      </x:c>
      <x:c r="G77" s="32" t="str">
        <x:v>Chargé communication</x:v>
      </x:c>
      <x:c r="H77" s="32" t="str">
        <x:v>agent</x:v>
      </x:c>
      <x:c r="I77" s="32" t="str">
        <x:v>DSIC</x:v>
      </x:c>
      <x:c r="J77" s="32" t="str">
        <x:v>CRP</x:v>
      </x:c>
      <x:c r="K77" s="36" t="str">
        <x:v>Non</x:v>
      </x:c>
      <x:c r="L77" s="32" t="str"/>
      <x:c r="M77" s="32" t="str">
        <x:v>agent</x:v>
      </x:c>
      <x:c r="N77" s="32" t="str">
        <x:v>agent</x:v>
      </x:c>
      <x:c r="O77" s="32" t="str">
        <x:v>Opérationnelle</x:v>
      </x:c>
      <x:c r="P77" s="32" t="str">
        <x:v>Périmètre propre</x:v>
      </x:c>
      <x:c r="Q77" s="32" t="str">
        <x:v>Oui</x:v>
      </x:c>
      <x:c r="R77" s="32" t="str">
        <x:v>Prêt pour import</x:v>
      </x:c>
      <x:c r="S77" s="36" t="str">
        <x:v>Oui</x:v>
      </x:c>
      <x:c r="T77" s="32" t="str">
        <x:v>Agent opérationnel.</x:v>
      </x:c>
      <x:c r="U77" s="32" t="str">
        <x:v>Prêt pour import</x:v>
      </x:c>
    </x:row>
    <x:row r="78">
      <x:c r="A78" s="36" t="n">
        <x:v>74</x:v>
      </x:c>
      <x:c r="B78" s="36" t="n">
        <x:v>76</x:v>
      </x:c>
      <x:c r="C78" s="32" t="str">
        <x:v>OSSI Hans</x:v>
      </x:c>
      <x:c r="D78" s="32" t="str">
        <x:v>hans.ossi@anbg.ga</x:v>
      </x:c>
      <x:c r="E78" s="32" t="str">
        <x:v>DSIC</x:v>
      </x:c>
      <x:c r="F78" s="32" t="str">
        <x:v>CRP</x:v>
      </x:c>
      <x:c r="G78" s="32" t="str">
        <x:v>Chargé communication</x:v>
      </x:c>
      <x:c r="H78" s="32" t="str">
        <x:v>agent</x:v>
      </x:c>
      <x:c r="I78" s="32" t="str">
        <x:v>DSIC</x:v>
      </x:c>
      <x:c r="J78" s="32" t="str">
        <x:v>CRP</x:v>
      </x:c>
      <x:c r="K78" s="36" t="str">
        <x:v>Non</x:v>
      </x:c>
      <x:c r="L78" s="32" t="str"/>
      <x:c r="M78" s="32" t="str">
        <x:v>agent</x:v>
      </x:c>
      <x:c r="N78" s="32" t="str">
        <x:v>agent</x:v>
      </x:c>
      <x:c r="O78" s="32" t="str">
        <x:v>Opérationnelle</x:v>
      </x:c>
      <x:c r="P78" s="32" t="str">
        <x:v>Périmètre propre</x:v>
      </x:c>
      <x:c r="Q78" s="32" t="str">
        <x:v>Oui</x:v>
      </x:c>
      <x:c r="R78" s="32" t="str">
        <x:v>Prêt pour import</x:v>
      </x:c>
      <x:c r="S78" s="36" t="str">
        <x:v>Oui</x:v>
      </x:c>
      <x:c r="T78" s="32" t="str">
        <x:v>Agent opérationnel.</x:v>
      </x:c>
      <x:c r="U78" s="32" t="str">
        <x:v>Prêt pour import</x:v>
      </x:c>
    </x:row>
    <x:row r="79">
      <x:c r="A79" s="36" t="n">
        <x:v>75</x:v>
      </x:c>
      <x:c r="B79" s="36" t="n">
        <x:v>77</x:v>
      </x:c>
      <x:c r="C79" s="32" t="str">
        <x:v>MBOUMBA Noelle</x:v>
      </x:c>
      <x:c r="D79" s="32" t="str">
        <x:v>noelle.mboumba@anbg.ga</x:v>
      </x:c>
      <x:c r="E79" s="32" t="str">
        <x:v>DSIC</x:v>
      </x:c>
      <x:c r="F79" s="32" t="str">
        <x:v>CRP</x:v>
      </x:c>
      <x:c r="G79" s="32" t="str">
        <x:v>Responsable communication</x:v>
      </x:c>
      <x:c r="H79" s="32" t="str">
        <x:v>service</x:v>
      </x:c>
      <x:c r="I79" s="32" t="str">
        <x:v>DSIC</x:v>
      </x:c>
      <x:c r="J79" s="32" t="str">
        <x:v>CRP</x:v>
      </x:c>
      <x:c r="K79" s="36" t="str">
        <x:v>Non</x:v>
      </x:c>
      <x:c r="L79" s="32" t="str"/>
      <x:c r="M79" s="32" t="str">
        <x:v>agent</x:v>
      </x:c>
      <x:c r="N79" s="32" t="str">
        <x:v>agent</x:v>
      </x:c>
      <x:c r="O79" s="32" t="str">
        <x:v>Opérationnelle</x:v>
      </x:c>
      <x:c r="P79" s="32" t="str">
        <x:v>Périmètre propre</x:v>
      </x:c>
      <x:c r="Q79" s="32" t="str">
        <x:v>Oui</x:v>
      </x:c>
      <x:c r="R79" s="32" t="str">
        <x:v>Prêt pour import</x:v>
      </x:c>
      <x:c r="S79" s="36" t="str">
        <x:v>Oui</x:v>
      </x:c>
      <x:c r="T79" s="32" t="str">
        <x:v>Rôle source 'service' conservé comme information source, mais pas transformé en chef : la fonction ne mentionne pas chef de service/unité.</x:v>
      </x:c>
      <x:c r="U79" s="32" t="str">
        <x:v>Prêt pour import</x:v>
      </x:c>
    </x:row>
    <x:row r="80">
      <x:c r="A80" s="36" t="n">
        <x:v>76</x:v>
      </x:c>
      <x:c r="B80" s="36" t="n">
        <x:v>78</x:v>
      </x:c>
      <x:c r="C80" s="32" t="str">
        <x:v>YEMBI Marvin</x:v>
      </x:c>
      <x:c r="D80" s="32" t="str">
        <x:v>marvin.yembi@anbg.ga</x:v>
      </x:c>
      <x:c r="E80" s="32" t="str">
        <x:v>DSIC</x:v>
      </x:c>
      <x:c r="F80" s="32" t="str">
        <x:v>CRP</x:v>
      </x:c>
      <x:c r="G80" s="32" t="str">
        <x:v>Chef service</x:v>
      </x:c>
      <x:c r="H80" s="32" t="str">
        <x:v>service</x:v>
      </x:c>
      <x:c r="I80" s="32" t="str">
        <x:v>DSIC</x:v>
      </x:c>
      <x:c r="J80" s="41" t="str">
        <x:v>CRP</x:v>
      </x:c>
      <x:c r="K80" s="41" t="str">
        <x:v>Oui</x:v>
      </x:c>
      <x:c r="L80" s="32" t="str">
        <x:v>Chef de service</x:v>
      </x:c>
      <x:c r="M80" s="32" t="str">
        <x:v>chef de service</x:v>
      </x:c>
      <x:c r="N80" s="32" t="str">
        <x:v>chef_service</x:v>
      </x:c>
      <x:c r="O80" s="32" t="str">
        <x:v>Pilotage service/unité + opérationnel</x:v>
      </x:c>
      <x:c r="P80" s="32" t="str">
        <x:v>Périmètre service/unité</x:v>
      </x:c>
      <x:c r="Q80" s="32" t="str">
        <x:v>Oui</x:v>
      </x:c>
      <x:c r="R80" s="32" t="str">
        <x:v>Prêt pour import</x:v>
      </x:c>
      <x:c r="S80" s="36" t="str">
        <x:v>Oui</x:v>
      </x:c>
      <x:c r="T80" s="32" t="str">
        <x:v>Chef confirmé car la fonction/observation source mentionne explicitement chef ou responsable UCAS.</x:v>
      </x:c>
      <x:c r="U80" s="32" t="str">
        <x:v>Prêt pour import</x:v>
      </x:c>
    </x:row>
    <x:row r="81">
      <x:c r="A81" s="36" t="n">
        <x:v>77</x:v>
      </x:c>
      <x:c r="B81" s="36" t="n">
        <x:v>79</x:v>
      </x:c>
      <x:c r="C81" s="32" t="str">
        <x:v>LEYIGUI Wilfried</x:v>
      </x:c>
      <x:c r="D81" s="32" t="str">
        <x:v>wilfried.leyigui@anbg.ga</x:v>
      </x:c>
      <x:c r="E81" s="32" t="str">
        <x:v>DSIC</x:v>
      </x:c>
      <x:c r="F81" s="32" t="str">
        <x:v>GDS</x:v>
      </x:c>
      <x:c r="G81" s="32" t="str">
        <x:v>Archiviste</x:v>
      </x:c>
      <x:c r="H81" s="32" t="str">
        <x:v>agent</x:v>
      </x:c>
      <x:c r="I81" s="32" t="str">
        <x:v>DSIC</x:v>
      </x:c>
      <x:c r="J81" s="32" t="str">
        <x:v>GDS</x:v>
      </x:c>
      <x:c r="K81" s="36" t="str">
        <x:v>Non</x:v>
      </x:c>
      <x:c r="L81" s="32" t="str"/>
      <x:c r="M81" s="32" t="str">
        <x:v>agent</x:v>
      </x:c>
      <x:c r="N81" s="32" t="str">
        <x:v>agent</x:v>
      </x:c>
      <x:c r="O81" s="32" t="str">
        <x:v>Opérationnelle</x:v>
      </x:c>
      <x:c r="P81" s="32" t="str">
        <x:v>Périmètre propre</x:v>
      </x:c>
      <x:c r="Q81" s="32" t="str">
        <x:v>Oui</x:v>
      </x:c>
      <x:c r="R81" s="32" t="str">
        <x:v>Prêt pour import</x:v>
      </x:c>
      <x:c r="S81" s="36" t="str">
        <x:v>Oui</x:v>
      </x:c>
      <x:c r="T81" s="32" t="str">
        <x:v>Agent opérationnel.</x:v>
      </x:c>
      <x:c r="U81" s="32" t="str">
        <x:v>Prêt pour import</x:v>
      </x:c>
    </x:row>
    <x:row r="82">
      <x:c r="A82" s="36" t="n">
        <x:v>78</x:v>
      </x:c>
      <x:c r="B82" s="36" t="n">
        <x:v>80</x:v>
      </x:c>
      <x:c r="C82" s="32" t="str">
        <x:v>MAGNET Clovis</x:v>
      </x:c>
      <x:c r="D82" s="32" t="str">
        <x:v>clovis.magnet@anbg.ga</x:v>
      </x:c>
      <x:c r="E82" s="32" t="str">
        <x:v>DSIC</x:v>
      </x:c>
      <x:c r="F82" s="32" t="str">
        <x:v>GDS</x:v>
      </x:c>
      <x:c r="G82" s="32" t="str">
        <x:v>Archiviste</x:v>
      </x:c>
      <x:c r="H82" s="32" t="str">
        <x:v>agent</x:v>
      </x:c>
      <x:c r="I82" s="32" t="str">
        <x:v>DSIC</x:v>
      </x:c>
      <x:c r="J82" s="32" t="str">
        <x:v>GDS</x:v>
      </x:c>
      <x:c r="K82" s="36" t="str">
        <x:v>Non</x:v>
      </x:c>
      <x:c r="L82" s="32" t="str"/>
      <x:c r="M82" s="32" t="str">
        <x:v>agent</x:v>
      </x:c>
      <x:c r="N82" s="32" t="str">
        <x:v>agent</x:v>
      </x:c>
      <x:c r="O82" s="32" t="str">
        <x:v>Opérationnelle</x:v>
      </x:c>
      <x:c r="P82" s="32" t="str">
        <x:v>Périmètre propre</x:v>
      </x:c>
      <x:c r="Q82" s="32" t="str">
        <x:v>Oui</x:v>
      </x:c>
      <x:c r="R82" s="32" t="str">
        <x:v>Prêt pour import</x:v>
      </x:c>
      <x:c r="S82" s="36" t="str">
        <x:v>Oui</x:v>
      </x:c>
      <x:c r="T82" s="32" t="str">
        <x:v>Agent opérationnel.</x:v>
      </x:c>
      <x:c r="U82" s="32" t="str">
        <x:v>Prêt pour import</x:v>
      </x:c>
    </x:row>
    <x:row r="83">
      <x:c r="A83" s="36" t="n">
        <x:v>79</x:v>
      </x:c>
      <x:c r="B83" s="36" t="n">
        <x:v>81</x:v>
      </x:c>
      <x:c r="C83" s="32" t="str">
        <x:v>KOMBA Staelle</x:v>
      </x:c>
      <x:c r="D83" s="32" t="str">
        <x:v>staelle.komba@anbg.ga</x:v>
      </x:c>
      <x:c r="E83" s="32" t="str">
        <x:v>DSIC</x:v>
      </x:c>
      <x:c r="F83" s="32" t="str">
        <x:v>GDS</x:v>
      </x:c>
      <x:c r="G83" s="32" t="str">
        <x:v>Chef service</x:v>
      </x:c>
      <x:c r="H83" s="32" t="str">
        <x:v>service</x:v>
      </x:c>
      <x:c r="I83" s="32" t="str">
        <x:v>DSIC</x:v>
      </x:c>
      <x:c r="J83" s="41" t="str">
        <x:v>GDS</x:v>
      </x:c>
      <x:c r="K83" s="41" t="str">
        <x:v>Oui</x:v>
      </x:c>
      <x:c r="L83" s="32" t="str">
        <x:v>Chef de service</x:v>
      </x:c>
      <x:c r="M83" s="32" t="str">
        <x:v>chef de service</x:v>
      </x:c>
      <x:c r="N83" s="32" t="str">
        <x:v>chef_service</x:v>
      </x:c>
      <x:c r="O83" s="32" t="str">
        <x:v>Pilotage service/unité + opérationnel</x:v>
      </x:c>
      <x:c r="P83" s="32" t="str">
        <x:v>Périmètre service/unité</x:v>
      </x:c>
      <x:c r="Q83" s="32" t="str">
        <x:v>Oui</x:v>
      </x:c>
      <x:c r="R83" s="32" t="str">
        <x:v>Prêt pour import</x:v>
      </x:c>
      <x:c r="S83" s="36" t="str">
        <x:v>Oui</x:v>
      </x:c>
      <x:c r="T83" s="32" t="str">
        <x:v>Chef confirmé car la fonction/observation source mentionne explicitement chef ou responsable UCAS.</x:v>
      </x:c>
      <x:c r="U83" s="32" t="str">
        <x:v>Prêt pour import</x:v>
      </x:c>
    </x:row>
    <x:row r="84">
      <x:c r="A84" s="36" t="n">
        <x:v>80</x:v>
      </x:c>
      <x:c r="B84" s="36" t="n">
        <x:v>82</x:v>
      </x:c>
      <x:c r="C84" s="32" t="str">
        <x:v>CAMARA François</x:v>
      </x:c>
      <x:c r="D84" s="32" t="str">
        <x:v>francois.camara@anbg.ga</x:v>
      </x:c>
      <x:c r="E84" s="32" t="str">
        <x:v>DSIC</x:v>
      </x:c>
      <x:c r="F84" s="32" t="str">
        <x:v>SIRS</x:v>
      </x:c>
      <x:c r="G84" s="32" t="str">
        <x:v>Agent IT</x:v>
      </x:c>
      <x:c r="H84" s="32" t="str">
        <x:v>agent</x:v>
      </x:c>
      <x:c r="I84" s="32" t="str">
        <x:v>DSIC</x:v>
      </x:c>
      <x:c r="J84" s="32" t="str">
        <x:v>SIRS</x:v>
      </x:c>
      <x:c r="K84" s="36" t="str">
        <x:v>Non</x:v>
      </x:c>
      <x:c r="L84" s="32" t="str"/>
      <x:c r="M84" s="32" t="str">
        <x:v>agent</x:v>
      </x:c>
      <x:c r="N84" s="32" t="str">
        <x:v>agent</x:v>
      </x:c>
      <x:c r="O84" s="32" t="str">
        <x:v>Opérationnelle</x:v>
      </x:c>
      <x:c r="P84" s="32" t="str">
        <x:v>Périmètre propre</x:v>
      </x:c>
      <x:c r="Q84" s="32" t="str">
        <x:v>Oui</x:v>
      </x:c>
      <x:c r="R84" s="32" t="str">
        <x:v>Prêt pour import</x:v>
      </x:c>
      <x:c r="S84" s="36" t="str">
        <x:v>Oui</x:v>
      </x:c>
      <x:c r="T84" s="32" t="str">
        <x:v>Agent opérationnel.</x:v>
      </x:c>
      <x:c r="U84" s="32" t="str">
        <x:v>Prêt pour import</x:v>
      </x:c>
    </x:row>
    <x:row r="85">
      <x:c r="A85" s="36" t="n">
        <x:v>81</x:v>
      </x:c>
      <x:c r="B85" s="36" t="n">
        <x:v>83</x:v>
      </x:c>
      <x:c r="C85" s="32" t="str">
        <x:v>EBINDA Roger</x:v>
      </x:c>
      <x:c r="D85" s="32" t="str">
        <x:v>roger.ebinda@anbg.ga</x:v>
      </x:c>
      <x:c r="E85" s="32" t="str">
        <x:v>DSIC</x:v>
      </x:c>
      <x:c r="F85" s="32" t="str">
        <x:v>SIRS</x:v>
      </x:c>
      <x:c r="G85" s="32" t="str">
        <x:v>Agent IT</x:v>
      </x:c>
      <x:c r="H85" s="32" t="str">
        <x:v>agent</x:v>
      </x:c>
      <x:c r="I85" s="32" t="str">
        <x:v>DSIC</x:v>
      </x:c>
      <x:c r="J85" s="32" t="str">
        <x:v>SIRS</x:v>
      </x:c>
      <x:c r="K85" s="36" t="str">
        <x:v>Non</x:v>
      </x:c>
      <x:c r="L85" s="32" t="str"/>
      <x:c r="M85" s="32" t="str">
        <x:v>agent</x:v>
      </x:c>
      <x:c r="N85" s="32" t="str">
        <x:v>agent</x:v>
      </x:c>
      <x:c r="O85" s="32" t="str">
        <x:v>Opérationnelle</x:v>
      </x:c>
      <x:c r="P85" s="32" t="str">
        <x:v>Périmètre propre</x:v>
      </x:c>
      <x:c r="Q85" s="32" t="str">
        <x:v>Oui</x:v>
      </x:c>
      <x:c r="R85" s="32" t="str">
        <x:v>Prêt pour import</x:v>
      </x:c>
      <x:c r="S85" s="36" t="str">
        <x:v>Oui</x:v>
      </x:c>
      <x:c r="T85" s="32" t="str">
        <x:v>Agent opérationnel.</x:v>
      </x:c>
      <x:c r="U85" s="32" t="str">
        <x:v>Prêt pour import</x:v>
      </x:c>
    </x:row>
    <x:row r="86">
      <x:c r="A86" s="36" t="n">
        <x:v>82</x:v>
      </x:c>
      <x:c r="B86" s="36" t="n">
        <x:v>84</x:v>
      </x:c>
      <x:c r="C86" s="32" t="str">
        <x:v>NGUEMEDZANG Renaud</x:v>
      </x:c>
      <x:c r="D86" s="32" t="str">
        <x:v>renaud.nguemedzang@anbg.ga</x:v>
      </x:c>
      <x:c r="E86" s="32" t="str">
        <x:v>DSIC</x:v>
      </x:c>
      <x:c r="F86" s="32" t="str">
        <x:v>SIRS</x:v>
      </x:c>
      <x:c r="G86" s="32" t="str">
        <x:v>Agent IT</x:v>
      </x:c>
      <x:c r="H86" s="32" t="str">
        <x:v>agent</x:v>
      </x:c>
      <x:c r="I86" s="32" t="str">
        <x:v>DSIC</x:v>
      </x:c>
      <x:c r="J86" s="32" t="str">
        <x:v>SIRS</x:v>
      </x:c>
      <x:c r="K86" s="36" t="str">
        <x:v>Non</x:v>
      </x:c>
      <x:c r="L86" s="32" t="str"/>
      <x:c r="M86" s="32" t="str">
        <x:v>agent</x:v>
      </x:c>
      <x:c r="N86" s="32" t="str">
        <x:v>agent</x:v>
      </x:c>
      <x:c r="O86" s="32" t="str">
        <x:v>Opérationnelle</x:v>
      </x:c>
      <x:c r="P86" s="32" t="str">
        <x:v>Périmètre propre</x:v>
      </x:c>
      <x:c r="Q86" s="32" t="str">
        <x:v>Oui</x:v>
      </x:c>
      <x:c r="R86" s="32" t="str">
        <x:v>Prêt pour import</x:v>
      </x:c>
      <x:c r="S86" s="36" t="str">
        <x:v>Oui</x:v>
      </x:c>
      <x:c r="T86" s="32" t="str">
        <x:v>Agent opérationnel.</x:v>
      </x:c>
      <x:c r="U86" s="32" t="str">
        <x:v>Prêt pour import</x:v>
      </x:c>
    </x:row>
    <x:row r="87">
      <x:c r="A87" s="36" t="n">
        <x:v>83</x:v>
      </x:c>
      <x:c r="B87" s="36" t="n">
        <x:v>85</x:v>
      </x:c>
      <x:c r="C87" s="32" t="str">
        <x:v>OSSA Charles</x:v>
      </x:c>
      <x:c r="D87" s="32" t="str">
        <x:v>charles.ossa@anbg.ga</x:v>
      </x:c>
      <x:c r="E87" s="32" t="str">
        <x:v>DSIC</x:v>
      </x:c>
      <x:c r="F87" s="32" t="str">
        <x:v>SIRS</x:v>
      </x:c>
      <x:c r="G87" s="32" t="str">
        <x:v>Agent IT</x:v>
      </x:c>
      <x:c r="H87" s="32" t="str">
        <x:v>agent</x:v>
      </x:c>
      <x:c r="I87" s="32" t="str">
        <x:v>DSIC</x:v>
      </x:c>
      <x:c r="J87" s="32" t="str">
        <x:v>SIRS</x:v>
      </x:c>
      <x:c r="K87" s="36" t="str">
        <x:v>Non</x:v>
      </x:c>
      <x:c r="L87" s="32" t="str"/>
      <x:c r="M87" s="32" t="str">
        <x:v>agent</x:v>
      </x:c>
      <x:c r="N87" s="32" t="str">
        <x:v>agent</x:v>
      </x:c>
      <x:c r="O87" s="32" t="str">
        <x:v>Opérationnelle</x:v>
      </x:c>
      <x:c r="P87" s="32" t="str">
        <x:v>Périmètre propre</x:v>
      </x:c>
      <x:c r="Q87" s="32" t="str">
        <x:v>Oui</x:v>
      </x:c>
      <x:c r="R87" s="32" t="str">
        <x:v>Prêt pour import</x:v>
      </x:c>
      <x:c r="S87" s="36" t="str">
        <x:v>Oui</x:v>
      </x:c>
      <x:c r="T87" s="32" t="str">
        <x:v>Agent opérationnel.</x:v>
      </x:c>
      <x:c r="U87" s="32" t="str">
        <x:v>Prêt pour import</x:v>
      </x:c>
    </x:row>
    <x:row r="88">
      <x:c r="A88" s="36" t="n">
        <x:v>84</x:v>
      </x:c>
      <x:c r="B88" s="36" t="n">
        <x:v>86</x:v>
      </x:c>
      <x:c r="C88" s="32" t="str">
        <x:v>Arnold MINDZELI</x:v>
      </x:c>
      <x:c r="D88" s="32" t="str">
        <x:v>arnold.mindzeli@anbg.ga</x:v>
      </x:c>
      <x:c r="E88" s="32" t="str">
        <x:v>DSIC</x:v>
      </x:c>
      <x:c r="F88" s="32" t="str">
        <x:v>SIRS</x:v>
      </x:c>
      <x:c r="G88" s="32" t="str">
        <x:v>Chef service</x:v>
      </x:c>
      <x:c r="H88" s="32" t="str">
        <x:v>service</x:v>
      </x:c>
      <x:c r="I88" s="32" t="str">
        <x:v>DSIC</x:v>
      </x:c>
      <x:c r="J88" s="41" t="str">
        <x:v>SIRS</x:v>
      </x:c>
      <x:c r="K88" s="41" t="str">
        <x:v>Oui</x:v>
      </x:c>
      <x:c r="L88" s="32" t="str">
        <x:v>Chef de service</x:v>
      </x:c>
      <x:c r="M88" s="32" t="str">
        <x:v>chef de service</x:v>
      </x:c>
      <x:c r="N88" s="32" t="str">
        <x:v>chef_service</x:v>
      </x:c>
      <x:c r="O88" s="32" t="str">
        <x:v>Pilotage service/unité + opérationnel</x:v>
      </x:c>
      <x:c r="P88" s="32" t="str">
        <x:v>Périmètre service/unité</x:v>
      </x:c>
      <x:c r="Q88" s="32" t="str">
        <x:v>Oui</x:v>
      </x:c>
      <x:c r="R88" s="32" t="str">
        <x:v>Prêt pour import</x:v>
      </x:c>
      <x:c r="S88" s="36" t="str">
        <x:v>Oui</x:v>
      </x:c>
      <x:c r="T88" s="32" t="str">
        <x:v>Chef confirmé car la fonction/observation source mentionne explicitement chef ou responsable UCAS.</x:v>
      </x:c>
      <x:c r="U88" s="32" t="str">
        <x:v>Prêt pour import</x:v>
      </x:c>
    </x:row>
  </x:sheetData>
  <x:mergeCells>
    <x:mergeCell ref="A1:U1"/>
    <x:mergeCell ref="A2:U2"/>
  </x:mergeCells>
  <x:pageMargins left="0.7" right="0.7" top="0.75" bottom="0.75" header="0.3" footer="0.3"/>
  <x:tableParts count="1">
    <x:tablePart xmlns:r="http://schemas.openxmlformats.org/officeDocument/2006/relationships" r:id="R98073a9a68cc4af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4" hidden="0" customWidth="1"/>
    <x:col min="4" max="4" width="16" hidden="0" customWidth="1"/>
    <x:col min="5" max="5" width="28" hidden="0" customWidth="1"/>
    <x:col min="6" max="6" width="18" hidden="0" customWidth="1"/>
    <x:col min="7" max="7" width="18" hidden="0" customWidth="1"/>
    <x:col min="8" max="8" width="50" hidden="0" customWidth="1"/>
  </x:cols>
  <x:sheetData>
    <x:row r="1" ht="28" customHeight="1">
      <x:c r="A1" s="5" t="str">
        <x:v>SYNTHÈSE DE CONTRÔLE — BASE UTILISATEURS</x:v>
      </x:c>
    </x:row>
    <x:row r="2" ht="28" customHeight="1">
      <x:c r="A2" s="14" t="str">
        <x:v>Contrôles automatiques sur la base refaite.</x:v>
      </x:c>
    </x:row>
    <x:row r="4">
      <x:c r="A4" s="74" t="str">
        <x:v>Indicateur</x:v>
      </x:c>
      <x:c r="B4" s="74" t="str">
        <x:v>Valeur</x:v>
      </x:c>
      <x:c r="D4" s="74" t="str">
        <x:v>Direction officielle</x:v>
      </x:c>
      <x:c r="E4" s="74" t="str">
        <x:v>Total</x:v>
      </x:c>
      <x:c r="F4" s="74" t="str">
        <x:v>Chefs confirmés</x:v>
      </x:c>
    </x:row>
    <x:row r="5">
      <x:c r="A5" s="77" t="str">
        <x:v>Utilisateurs en base principale</x:v>
      </x:c>
      <x:c r="B5" s="81" t="n">
        <x:f>COUNTA(Base_Import!C5:C88)</x:f>
        <x:v>84</x:v>
      </x:c>
      <x:c r="D5" s="69" t="str">
        <x:v>Cabinet du DG</x:v>
      </x:c>
      <x:c r="E5" s="69" t="n">
        <x:f>COUNTIF(Base_Import!I5:I88,D5)</x:f>
        <x:v>25</x:v>
      </x:c>
      <x:c r="F5" s="69" t="n">
        <x:f>COUNTIFS(Base_Import!I5:I88,D5,Base_Import!K5:K88,"Oui")</x:f>
        <x:v>2</x:v>
      </x:c>
    </x:row>
    <x:row r="6">
      <x:c r="A6" s="77" t="str">
        <x:v>Importables</x:v>
      </x:c>
      <x:c r="B6" s="81" t="n">
        <x:f>COUNTIF(Base_Import!S5:S88,"Oui")</x:f>
        <x:v>81</x:v>
      </x:c>
      <x:c r="D6" s="69" t="str">
        <x:v>DAF</x:v>
      </x:c>
      <x:c r="E6" s="69" t="n">
        <x:f>COUNTIF(Base_Import!I5:I88,D6)</x:f>
        <x:v>21</x:v>
      </x:c>
      <x:c r="F6" s="69" t="n">
        <x:f>COUNTIFS(Base_Import!I5:I88,D6,Base_Import!K5:K88,"Oui")</x:f>
        <x:v>3</x:v>
      </x:c>
    </x:row>
    <x:row r="7">
      <x:c r="A7" s="77" t="str">
        <x:v>Non importables</x:v>
      </x:c>
      <x:c r="B7" s="81" t="n">
        <x:f>COUNTIF(Base_Import!S5:S88,"Non")</x:f>
        <x:v>3</x:v>
      </x:c>
      <x:c r="D7" s="69" t="str">
        <x:v>DS</x:v>
      </x:c>
      <x:c r="E7" s="69" t="n">
        <x:f>COUNTIF(Base_Import!I5:I88,D7)</x:f>
        <x:v>22</x:v>
      </x:c>
      <x:c r="F7" s="69" t="n">
        <x:f>COUNTIFS(Base_Import!I5:I88,D7,Base_Import!K5:K88,"Oui")</x:f>
        <x:v>3</x:v>
      </x:c>
    </x:row>
    <x:row r="8">
      <x:c r="A8" s="77" t="str">
        <x:v>Chefs confirmés</x:v>
      </x:c>
      <x:c r="B8" s="81" t="n">
        <x:f>COUNTIF(Base_Import!K5:K88,"Oui")</x:f>
        <x:v>11</x:v>
      </x:c>
      <x:c r="D8" s="69" t="str">
        <x:v>DSIC</x:v>
      </x:c>
      <x:c r="E8" s="69" t="n">
        <x:f>COUNTIF(Base_Import!I5:I88,D8)</x:f>
        <x:v>14</x:v>
      </x:c>
      <x:c r="F8" s="69" t="n">
        <x:f>COUNTIFS(Base_Import!I5:I88,D8,Base_Import!K5:K88,"Oui")</x:f>
        <x:v>3</x:v>
      </x:c>
    </x:row>
    <x:row r="9">
      <x:c r="A9" s="77" t="str">
        <x:v>Lignes supprimées</x:v>
      </x:c>
      <x:c r="B9" s="81" t="n">
        <x:v>2</x:v>
      </x:c>
      <x:c r="D9" s="69" t="str">
        <x:v>Système</x:v>
      </x:c>
      <x:c r="E9" s="69" t="n">
        <x:f>COUNTIF(Base_Import!I5:I88,D9)</x:f>
        <x:v>2</x:v>
      </x:c>
      <x:c r="F9" s="69" t="n">
        <x:f>COUNTIFS(Base_Import!I5:I88,D9,Base_Import!K5:K88,"Oui")</x:f>
        <x:v>0</x:v>
      </x:c>
    </x:row>
    <x:row r="10">
      <x:c r="A10" s="77" t="str">
        <x:v>Statuts à confirmer / contrôler / compléter</x:v>
      </x:c>
      <x:c r="B10" s="81" t="n">
        <x:f>COUNTIF(Base_Import!R5:R88,"À confirmer")+COUNTIF(Base_Import!R5:R88,"À contrôler")+COUNTIF(Base_Import!R5:R88,"À compléter")</x:f>
        <x:v>18</x:v>
      </x:c>
    </x:row>
    <x:row r="13">
      <x:c r="A13" s="74" t="str">
        <x:v>Rôle applicatif corrigé</x:v>
      </x:c>
      <x:c r="B13" s="74" t="str">
        <x:v>Total</x:v>
      </x:c>
      <x:c r="D13" s="74" t="str">
        <x:v>Ligne source</x:v>
      </x:c>
      <x:c r="E13" s="74" t="str">
        <x:v>Nom</x:v>
      </x:c>
      <x:c r="F13" s="74" t="str">
        <x:v>Service</x:v>
      </x:c>
      <x:c r="G13" s="74" t="str">
        <x:v>Statut</x:v>
      </x:c>
      <x:c r="H13" s="74" t="str">
        <x:v>Action</x:v>
      </x:c>
    </x:row>
    <x:row r="14">
      <x:c r="A14" s="69" t="str">
        <x:v>admin</x:v>
      </x:c>
      <x:c r="B14" s="69" t="n">
        <x:f>COUNTIF(Base_Import!M5:M88,A14)</x:f>
        <x:v>1</x:v>
      </x:c>
      <x:c r="D14" s="70" t="n">
        <x:v>43</x:v>
      </x:c>
      <x:c r="E14" s="70" t="str">
        <x:v>À compléter</x:v>
      </x:c>
      <x:c r="F14" s="70" t="str">
        <x:v>Direction Générale</x:v>
      </x:c>
      <x:c r="G14" s="70" t="str">
        <x:v>À compléter</x:v>
      </x:c>
      <x:c r="H14" s="70" t="str">
        <x:v>Renseigner le nom réel avant import.</x:v>
      </x:c>
    </x:row>
    <x:row r="15">
      <x:c r="A15" s="69" t="str">
        <x:v>super admin</x:v>
      </x:c>
      <x:c r="B15" s="69" t="n">
        <x:f>COUNTIF(Base_Import!M5:M88,A15)</x:f>
        <x:v>1</x:v>
      </x:c>
      <x:c r="D15" s="70" t="n">
        <x:v>54</x:v>
      </x:c>
      <x:c r="E15" s="70" t="str">
        <x:v>À compléter</x:v>
      </x:c>
      <x:c r="F15" s="70" t="str">
        <x:v>UCAS</x:v>
      </x:c>
      <x:c r="G15" s="70" t="str">
        <x:v>À compléter</x:v>
      </x:c>
      <x:c r="H15" s="70" t="str">
        <x:v>Renseigner le nom réel avant import.</x:v>
      </x:c>
    </x:row>
    <x:row r="16">
      <x:c r="A16" s="69" t="str">
        <x:v>DG</x:v>
      </x:c>
      <x:c r="B16" s="69" t="n">
        <x:f>COUNTIF(Base_Import!M5:M88,A16)</x:f>
        <x:v>2</x:v>
      </x:c>
      <x:c r="D16" s="70" t="n">
        <x:v>55</x:v>
      </x:c>
      <x:c r="E16" s="70" t="str">
        <x:v>À compléter</x:v>
      </x:c>
      <x:c r="F16" s="70" t="str">
        <x:v>UCAS</x:v>
      </x:c>
      <x:c r="G16" s="70" t="str">
        <x:v>À contrôler</x:v>
      </x:c>
      <x:c r="H16" s="70" t="str">
        <x:v>Confirmer suppression ou remplacement par un utilisateur réel.</x:v>
      </x:c>
    </x:row>
    <x:row r="17">
      <x:c r="A17" s="69" t="str">
        <x:v>directeur</x:v>
      </x:c>
      <x:c r="B17" s="69" t="n">
        <x:f>COUNTIF(Base_Import!M5:M88,A17)</x:f>
        <x:v>3</x:v>
      </x:c>
      <x:c r="D17" s="70" t="n">
        <x:v>57</x:v>
      </x:c>
      <x:c r="E17" s="70" t="str">
        <x:v>AZIZET AKEWA Claude</x:v>
      </x:c>
      <x:c r="F17" s="70" t="str">
        <x:v>EB</x:v>
      </x:c>
      <x:c r="G17" s="70" t="str">
        <x:v>À confirmer</x:v>
      </x:c>
      <x:c r="H17" s="70" t="str">
        <x:v>Confirmer si EB reste service distinct ou ancienne codification.</x:v>
      </x:c>
    </x:row>
    <x:row r="18">
      <x:c r="A18" s="69" t="str">
        <x:v>chef de service</x:v>
      </x:c>
      <x:c r="B18" s="69" t="n">
        <x:f>COUNTIF(Base_Import!M5:M88,A18)</x:f>
        <x:v>9</x:v>
      </x:c>
      <x:c r="D18" s="70" t="n">
        <x:v>58</x:v>
      </x:c>
      <x:c r="E18" s="70" t="str">
        <x:v>BISSONGUI MAKITA Raissa</x:v>
      </x:c>
      <x:c r="F18" s="70" t="str">
        <x:v>EB</x:v>
      </x:c>
      <x:c r="G18" s="70" t="str">
        <x:v>À confirmer</x:v>
      </x:c>
      <x:c r="H18" s="70" t="str">
        <x:v>Confirmer si EB reste service distinct ou ancienne codification.</x:v>
      </x:c>
    </x:row>
    <x:row r="19">
      <x:c r="A19" s="69" t="str">
        <x:v>chef unité</x:v>
      </x:c>
      <x:c r="B19" s="69" t="n">
        <x:f>COUNTIF(Base_Import!M5:M88,A19)</x:f>
        <x:v>2</x:v>
      </x:c>
      <x:c r="D19" s="70" t="n">
        <x:v>59</x:v>
      </x:c>
      <x:c r="E19" s="70" t="str">
        <x:v>LEKA Noeline</x:v>
      </x:c>
      <x:c r="F19" s="70" t="str">
        <x:v>EB</x:v>
      </x:c>
      <x:c r="G19" s="70" t="str">
        <x:v>À confirmer</x:v>
      </x:c>
      <x:c r="H19" s="70" t="str">
        <x:v>Confirmer si EB reste service distinct ou ancienne codification.</x:v>
      </x:c>
    </x:row>
    <x:row r="20">
      <x:c r="A20" s="69" t="str">
        <x:v>collaborateur</x:v>
      </x:c>
      <x:c r="B20" s="69" t="n">
        <x:f>COUNTIF(Base_Import!M5:M88,A20)</x:f>
        <x:v>13</x:v>
      </x:c>
      <x:c r="D20" s="70" t="n">
        <x:v>60</x:v>
      </x:c>
      <x:c r="E20" s="70" t="str">
        <x:v>LEMBA Sigrid</x:v>
      </x:c>
      <x:c r="F20" s="70" t="str">
        <x:v>EB</x:v>
      </x:c>
      <x:c r="G20" s="70" t="str">
        <x:v>À confirmer</x:v>
      </x:c>
      <x:c r="H20" s="70" t="str">
        <x:v>Confirmer si EB reste service distinct ou ancienne codification.</x:v>
      </x:c>
    </x:row>
    <x:row r="21">
      <x:c r="A21" s="69" t="str">
        <x:v>SCIQ</x:v>
      </x:c>
      <x:c r="B21" s="69" t="n">
        <x:f>COUNTIF(Base_Import!M5:M88,A21)</x:f>
        <x:v>2</x:v>
      </x:c>
      <x:c r="D21" s="70" t="n">
        <x:v>61</x:v>
      </x:c>
      <x:c r="E21" s="70" t="str">
        <x:v>MAKANGOU Zita</x:v>
      </x:c>
      <x:c r="F21" s="70" t="str">
        <x:v>EB</x:v>
      </x:c>
      <x:c r="G21" s="70" t="str">
        <x:v>À confirmer</x:v>
      </x:c>
      <x:c r="H21" s="70" t="str">
        <x:v>Confirmer si EB reste service distinct ou ancienne codification.</x:v>
      </x:c>
    </x:row>
    <x:row r="22">
      <x:c r="A22" s="69" t="str">
        <x:v>UCAS</x:v>
      </x:c>
      <x:c r="B22" s="69" t="n">
        <x:f>COUNTIF(Base_Import!M5:M88,A22)</x:f>
        <x:v>6</x:v>
      </x:c>
      <x:c r="D22" s="70" t="n">
        <x:v>62</x:v>
      </x:c>
      <x:c r="E22" s="70" t="str">
        <x:v>MAVIOGA Leger</x:v>
      </x:c>
      <x:c r="F22" s="70" t="str">
        <x:v>EB</x:v>
      </x:c>
      <x:c r="G22" s="70" t="str">
        <x:v>À confirmer</x:v>
      </x:c>
      <x:c r="H22" s="70" t="str">
        <x:v>Confirmer si EB reste service distinct ou ancienne codification.</x:v>
      </x:c>
    </x:row>
    <x:row r="23">
      <x:c r="A23" s="69" t="str">
        <x:v>planification</x:v>
      </x:c>
      <x:c r="B23" s="69" t="n">
        <x:f>COUNTIF(Base_Import!M5:M88,A23)</x:f>
        <x:v>4</x:v>
      </x:c>
      <x:c r="D23" s="70" t="n">
        <x:v>63</x:v>
      </x:c>
      <x:c r="E23" s="70" t="str">
        <x:v>MENDOME Nadine</x:v>
      </x:c>
      <x:c r="F23" s="70" t="str">
        <x:v>EB</x:v>
      </x:c>
      <x:c r="G23" s="70" t="str">
        <x:v>À confirmer</x:v>
      </x:c>
      <x:c r="H23" s="70" t="str">
        <x:v>Confirmer si EB reste service distinct ou ancienne codification.</x:v>
      </x:c>
    </x:row>
    <x:row r="24">
      <x:c r="A24" s="69" t="str">
        <x:v>agent</x:v>
      </x:c>
      <x:c r="B24" s="69" t="n">
        <x:f>COUNTIF(Base_Import!M5:M88,A24)</x:f>
        <x:v>41</x:v>
      </x:c>
      <x:c r="D24" s="70" t="n">
        <x:v>64</x:v>
      </x:c>
      <x:c r="E24" s="70" t="str">
        <x:v>MOUKAGNI Estelle</x:v>
      </x:c>
      <x:c r="F24" s="70" t="str">
        <x:v>EB</x:v>
      </x:c>
      <x:c r="G24" s="70" t="str">
        <x:v>À confirmer</x:v>
      </x:c>
      <x:c r="H24" s="70" t="str">
        <x:v>Confirmer si EB reste service distinct ou ancienne codification.</x:v>
      </x:c>
    </x:row>
    <x:row r="25">
      <x:c r="D25" s="70" t="n">
        <x:v>65</x:v>
      </x:c>
      <x:c r="E25" s="70" t="str">
        <x:v>NGOUBILI Lidy</x:v>
      </x:c>
      <x:c r="F25" s="70" t="str">
        <x:v>EB</x:v>
      </x:c>
      <x:c r="G25" s="70" t="str">
        <x:v>À confirmer</x:v>
      </x:c>
      <x:c r="H25" s="70" t="str">
        <x:v>Confirmer si EB reste service distinct ou ancienne codification.</x:v>
      </x:c>
    </x:row>
    <x:row r="26">
      <x:c r="D26" s="70" t="n">
        <x:v>66</x:v>
      </x:c>
      <x:c r="E26" s="70" t="str">
        <x:v>NKOURA Charly</x:v>
      </x:c>
      <x:c r="F26" s="70" t="str">
        <x:v>EB</x:v>
      </x:c>
      <x:c r="G26" s="70" t="str">
        <x:v>À confirmer</x:v>
      </x:c>
      <x:c r="H26" s="70" t="str">
        <x:v>Confirmer si EB reste service distinct ou ancienne codification.</x:v>
      </x:c>
    </x:row>
    <x:row r="27">
      <x:c r="D27" s="70" t="n">
        <x:v>67</x:v>
      </x:c>
      <x:c r="E27" s="70" t="str">
        <x:v>NYANGUI Sandrine</x:v>
      </x:c>
      <x:c r="F27" s="70" t="str">
        <x:v>EB</x:v>
      </x:c>
      <x:c r="G27" s="70" t="str">
        <x:v>À confirmer</x:v>
      </x:c>
      <x:c r="H27" s="70" t="str">
        <x:v>Confirmer si EB reste service distinct ou ancienne codification.</x:v>
      </x:c>
    </x:row>
    <x:row r="28">
      <x:c r="D28" s="70" t="n">
        <x:v>68</x:v>
      </x:c>
      <x:c r="E28" s="70" t="str">
        <x:v>SIMBOU Laurencienne</x:v>
      </x:c>
      <x:c r="F28" s="70" t="str">
        <x:v>EB</x:v>
      </x:c>
      <x:c r="G28" s="70" t="str">
        <x:v>À confirmer</x:v>
      </x:c>
      <x:c r="H28" s="70" t="str">
        <x:v>Confirmer si EB reste service distinct ou ancienne codification.</x:v>
      </x:c>
    </x:row>
    <x:row r="29">
      <x:c r="D29" s="70" t="n">
        <x:v>69</x:v>
      </x:c>
      <x:c r="E29" s="70" t="str">
        <x:v>MAGNANGANI ERIMI Belinda</x:v>
      </x:c>
      <x:c r="F29" s="70" t="str">
        <x:v>EB</x:v>
      </x:c>
      <x:c r="G29" s="70" t="str">
        <x:v>À confirmer</x:v>
      </x:c>
      <x:c r="H29" s="70" t="str">
        <x:v>Confirmer si EB reste service distinct ou ancienne codification.</x:v>
      </x:c>
    </x:row>
    <x:row r="30">
      <x:c r="D30" s="70" t="n">
        <x:v>70</x:v>
      </x:c>
      <x:c r="E30" s="70" t="str">
        <x:v>MENOUETON Codjo</x:v>
      </x:c>
      <x:c r="F30" s="70" t="str">
        <x:v>EB</x:v>
      </x:c>
      <x:c r="G30" s="70" t="str">
        <x:v>À confirmer</x:v>
      </x:c>
      <x:c r="H30" s="70" t="str">
        <x:v>Confirmer si EB reste service distinct ou ancienne codification.</x:v>
      </x:c>
    </x:row>
    <x:row r="31">
      <x:c r="D31" s="70" t="n">
        <x:v>71</x:v>
      </x:c>
      <x:c r="E31" s="70" t="str">
        <x:v>TOUNGOU Carine</x:v>
      </x:c>
      <x:c r="F31" s="70" t="str">
        <x:v>EB</x:v>
      </x:c>
      <x:c r="G31" s="70" t="str">
        <x:v>À confirmer</x:v>
      </x:c>
      <x:c r="H31" s="70" t="str">
        <x:v>Confirmer si EB reste service distinct ou ancienne codification.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24" hidden="0" customWidth="1"/>
    <x:col min="5" max="5" width="18" hidden="0" customWidth="1"/>
    <x:col min="6" max="6" width="16" hidden="0" customWidth="1"/>
    <x:col min="7" max="7" width="16" hidden="0" customWidth="1"/>
    <x:col min="8" max="8" width="45" hidden="0" customWidth="1"/>
  </x:cols>
  <x:sheetData>
    <x:row r="1" ht="28" customHeight="1">
      <x:c r="A1" s="5" t="str">
        <x:v>RÉFÉRENTIEL STRUCTURE OFFICIELLE — PAS ANBG</x:v>
      </x:c>
    </x:row>
    <x:row r="2" ht="28" customHeight="1">
      <x:c r="A2" s="14" t="str">
        <x:v>Directions officielles : Cabinet du DG, DSIC, DAF et DS. Les services sont normalisés sans conversion automatique CIQ/SCIQ, FC/SFC ou EB/ENB.</x:v>
      </x:c>
    </x:row>
    <x:row r="4">
      <x:c r="A4" s="64" t="str">
        <x:v>Direction officielle</x:v>
      </x:c>
      <x:c r="B4" s="64" t="str">
        <x:v>Service / unité</x:v>
      </x:c>
      <x:c r="C4" s="64" t="str">
        <x:v>Type</x:v>
      </x:c>
      <x:c r="D4" s="64" t="str">
        <x:v>Rôle chef</x:v>
      </x:c>
      <x:c r="E4" s="64" t="str">
        <x:v>Rôle agent</x:v>
      </x:c>
      <x:c r="F4" s="64" t="str">
        <x:v>Double interface</x:v>
      </x:c>
      <x:c r="G4" s="64" t="str">
        <x:v>Vue globale</x:v>
      </x:c>
      <x:c r="H4" s="64" t="str">
        <x:v>Observation</x:v>
      </x:c>
    </x:row>
    <x:row r="5">
      <x:c r="A5" s="70" t="str">
        <x:v>Cabinet du DG</x:v>
      </x:c>
      <x:c r="B5" s="70" t="str">
        <x:v>Direction Générale</x:v>
      </x:c>
      <x:c r="C5" s="70" t="str">
        <x:v>Pilotage DG/DGA</x:v>
      </x:c>
      <x:c r="D5" s="70" t="str">
        <x:v>DG</x:v>
      </x:c>
      <x:c r="E5" s="70" t="str">
        <x:v>DG</x:v>
      </x:c>
      <x:c r="F5" s="70" t="str">
        <x:v>Oui</x:v>
      </x:c>
      <x:c r="G5" s="70" t="str">
        <x:v>Oui</x:v>
      </x:c>
      <x:c r="H5" s="70" t="str">
        <x:v>Directeur Général et adjoint ; supervision agence.</x:v>
      </x:c>
    </x:row>
    <x:row r="6">
      <x:c r="A6" s="70" t="str">
        <x:v>Cabinet du DG</x:v>
      </x:c>
      <x:c r="B6" s="70" t="str">
        <x:v>Collaborateurs</x:v>
      </x:c>
      <x:c r="C6" s="70" t="str">
        <x:v>Service du Cabinet</x:v>
      </x:c>
      <x:c r="D6" s="70" t="str">
        <x:v>chef unité si responsable identifié</x:v>
      </x:c>
      <x:c r="E6" s="70" t="str">
        <x:v>collaborateur</x:v>
      </x:c>
      <x:c r="F6" s="70" t="str">
        <x:v>Oui</x:v>
      </x:c>
      <x:c r="G6" s="70" t="str">
        <x:v>Oui</x:v>
      </x:c>
      <x:c r="H6" s="70" t="str">
        <x:v>Conseillers, chargés d’étude, secrétariat, cabinet ; vue globale + actions propres.</x:v>
      </x:c>
    </x:row>
    <x:row r="7">
      <x:c r="A7" s="70" t="str">
        <x:v>Cabinet du DG</x:v>
      </x:c>
      <x:c r="B7" s="70" t="str">
        <x:v>SCIQ</x:v>
      </x:c>
      <x:c r="C7" s="70" t="str">
        <x:v>Service du Cabinet</x:v>
      </x:c>
      <x:c r="D7" s="70" t="str">
        <x:v>chef unité</x:v>
      </x:c>
      <x:c r="E7" s="70" t="str">
        <x:v>SCIQ</x:v>
      </x:c>
      <x:c r="F7" s="70" t="str">
        <x:v>Oui</x:v>
      </x:c>
      <x:c r="G7" s="70" t="str">
        <x:v>Oui</x:v>
      </x:c>
      <x:c r="H7" s="70" t="str">
        <x:v>Contrôle, suivi, consolidation, validation + propres PTA/actions.</x:v>
      </x:c>
    </x:row>
    <x:row r="8">
      <x:c r="A8" s="70" t="str">
        <x:v>Cabinet du DG</x:v>
      </x:c>
      <x:c r="B8" s="70" t="str">
        <x:v>UCAS</x:v>
      </x:c>
      <x:c r="C8" s="70" t="str">
        <x:v>Service du Cabinet</x:v>
      </x:c>
      <x:c r="D8" s="70" t="str">
        <x:v>chef unité</x:v>
      </x:c>
      <x:c r="E8" s="70" t="str">
        <x:v>UCAS</x:v>
      </x:c>
      <x:c r="F8" s="70" t="str">
        <x:v>Non</x:v>
      </x:c>
      <x:c r="G8" s="70" t="str">
        <x:v>Non</x:v>
      </x:c>
      <x:c r="H8" s="70" t="str">
        <x:v>Service opérationnel ordinaire sans double interface globale.</x:v>
      </x:c>
    </x:row>
    <x:row r="9">
      <x:c r="A9" s="70" t="str">
        <x:v>DAF</x:v>
      </x:c>
      <x:c r="B9" s="70" t="str">
        <x:v>AJARH</x:v>
      </x:c>
      <x:c r="C9" s="70" t="str">
        <x:v>Service</x:v>
      </x:c>
      <x:c r="D9" s="70" t="str">
        <x:v>chef de service</x:v>
      </x:c>
      <x:c r="E9" s="70" t="str">
        <x:v>agent</x:v>
      </x:c>
      <x:c r="F9" s="70" t="str">
        <x:v>Non</x:v>
      </x:c>
      <x:c r="G9" s="70" t="str">
        <x:v>Direction/service</x:v>
      </x:c>
      <x:c r="H9" s="70" t="str"/>
    </x:row>
    <x:row r="10">
      <x:c r="A10" s="70" t="str">
        <x:v>DAF</x:v>
      </x:c>
      <x:c r="B10" s="70" t="str">
        <x:v>AMG</x:v>
      </x:c>
      <x:c r="C10" s="70" t="str">
        <x:v>Service</x:v>
      </x:c>
      <x:c r="D10" s="70" t="str">
        <x:v>chef de service</x:v>
      </x:c>
      <x:c r="E10" s="70" t="str">
        <x:v>agent</x:v>
      </x:c>
      <x:c r="F10" s="70" t="str">
        <x:v>Non</x:v>
      </x:c>
      <x:c r="G10" s="70" t="str">
        <x:v>Direction/service</x:v>
      </x:c>
      <x:c r="H10" s="70" t="str"/>
    </x:row>
    <x:row r="11">
      <x:c r="A11" s="70" t="str">
        <x:v>DAF</x:v>
      </x:c>
      <x:c r="B11" s="70" t="str">
        <x:v>SFC</x:v>
      </x:c>
      <x:c r="C11" s="70" t="str">
        <x:v>Service</x:v>
      </x:c>
      <x:c r="D11" s="70" t="str">
        <x:v>chef de service</x:v>
      </x:c>
      <x:c r="E11" s="70" t="str">
        <x:v>agent</x:v>
      </x:c>
      <x:c r="F11" s="70" t="str">
        <x:v>Non</x:v>
      </x:c>
      <x:c r="G11" s="70" t="str">
        <x:v>Direction/service</x:v>
      </x:c>
      <x:c r="H11" s="70" t="str"/>
    </x:row>
    <x:row r="12">
      <x:c r="A12" s="70" t="str">
        <x:v>DS</x:v>
      </x:c>
      <x:c r="B12" s="70" t="str">
        <x:v>EN</x:v>
      </x:c>
      <x:c r="C12" s="70" t="str">
        <x:v>Service</x:v>
      </x:c>
      <x:c r="D12" s="70" t="str">
        <x:v>chef de service</x:v>
      </x:c>
      <x:c r="E12" s="70" t="str">
        <x:v>agent</x:v>
      </x:c>
      <x:c r="F12" s="70" t="str">
        <x:v>Non</x:v>
      </x:c>
      <x:c r="G12" s="70" t="str">
        <x:v>Direction/service</x:v>
      </x:c>
      <x:c r="H12" s="70" t="str">
        <x:v>Référentiel officiel ; aucun utilisateur trouvé dans l’extraction actuelle.</x:v>
      </x:c>
    </x:row>
    <x:row r="13">
      <x:c r="A13" s="70" t="str">
        <x:v>DS</x:v>
      </x:c>
      <x:c r="B13" s="70" t="str">
        <x:v>ENB</x:v>
      </x:c>
      <x:c r="C13" s="70" t="str">
        <x:v>Service</x:v>
      </x:c>
      <x:c r="D13" s="70" t="str">
        <x:v>chef de service</x:v>
      </x:c>
      <x:c r="E13" s="70" t="str">
        <x:v>agent</x:v>
      </x:c>
      <x:c r="F13" s="70" t="str">
        <x:v>Non</x:v>
      </x:c>
      <x:c r="G13" s="70" t="str">
        <x:v>Direction/service</x:v>
      </x:c>
      <x:c r="H13" s="70" t="str"/>
    </x:row>
    <x:row r="14">
      <x:c r="A14" s="70" t="str">
        <x:v>DS</x:v>
      </x:c>
      <x:c r="B14" s="70" t="str">
        <x:v>Planification</x:v>
      </x:c>
      <x:c r="C14" s="70" t="str">
        <x:v>Service à droits transversaux</x:v>
      </x:c>
      <x:c r="D14" s="70" t="str">
        <x:v>chef de service</x:v>
      </x:c>
      <x:c r="E14" s="70" t="str">
        <x:v>planification</x:v>
      </x:c>
      <x:c r="F14" s="70" t="str">
        <x:v>Oui</x:v>
      </x:c>
      <x:c r="G14" s="70" t="str">
        <x:v>Oui</x:v>
      </x:c>
      <x:c r="H14" s="70" t="str">
        <x:v>Même périmètre fonctionnel que SCIQ, mais utilisateurs rattachés à DS.</x:v>
      </x:c>
    </x:row>
    <x:row r="15">
      <x:c r="A15" s="70" t="str">
        <x:v>DS</x:v>
      </x:c>
      <x:c r="B15" s="70" t="str">
        <x:v>EB</x:v>
      </x:c>
      <x:c r="C15" s="70" t="str">
        <x:v>Service à confirmer</x:v>
      </x:c>
      <x:c r="D15" s="70" t="str">
        <x:v>chef de service si confirmé</x:v>
      </x:c>
      <x:c r="E15" s="70" t="str">
        <x:v>agent</x:v>
      </x:c>
      <x:c r="F15" s="70" t="str">
        <x:v>Non</x:v>
      </x:c>
      <x:c r="G15" s="70" t="str">
        <x:v>Direction/service</x:v>
      </x:c>
      <x:c r="H15" s="70" t="str">
        <x:v>EB conservé distinct de ENB ; aucune conversion automatique.</x:v>
      </x:c>
    </x:row>
    <x:row r="16">
      <x:c r="A16" s="70" t="str">
        <x:v>DSIC</x:v>
      </x:c>
      <x:c r="B16" s="70" t="str">
        <x:v>SIRS</x:v>
      </x:c>
      <x:c r="C16" s="70" t="str">
        <x:v>Service</x:v>
      </x:c>
      <x:c r="D16" s="70" t="str">
        <x:v>chef de service</x:v>
      </x:c>
      <x:c r="E16" s="70" t="str">
        <x:v>agent</x:v>
      </x:c>
      <x:c r="F16" s="70" t="str">
        <x:v>Non</x:v>
      </x:c>
      <x:c r="G16" s="70" t="str">
        <x:v>Direction/service</x:v>
      </x:c>
      <x:c r="H16" s="70" t="str"/>
    </x:row>
    <x:row r="17">
      <x:c r="A17" s="70" t="str">
        <x:v>DSIC</x:v>
      </x:c>
      <x:c r="B17" s="70" t="str">
        <x:v>CRP</x:v>
      </x:c>
      <x:c r="C17" s="70" t="str">
        <x:v>Service</x:v>
      </x:c>
      <x:c r="D17" s="70" t="str">
        <x:v>chef de service</x:v>
      </x:c>
      <x:c r="E17" s="70" t="str">
        <x:v>agent</x:v>
      </x:c>
      <x:c r="F17" s="70" t="str">
        <x:v>Non</x:v>
      </x:c>
      <x:c r="G17" s="70" t="str">
        <x:v>Direction/service</x:v>
      </x:c>
      <x:c r="H17" s="70" t="str"/>
    </x:row>
    <x:row r="18">
      <x:c r="A18" s="70" t="str">
        <x:v>DSIC</x:v>
      </x:c>
      <x:c r="B18" s="70" t="str">
        <x:v>GDS</x:v>
      </x:c>
      <x:c r="C18" s="70" t="str">
        <x:v>Service</x:v>
      </x:c>
      <x:c r="D18" s="70" t="str">
        <x:v>chef de service</x:v>
      </x:c>
      <x:c r="E18" s="70" t="str">
        <x:v>agent</x:v>
      </x:c>
      <x:c r="F18" s="70" t="str">
        <x:v>Non</x:v>
      </x:c>
      <x:c r="G18" s="70" t="str">
        <x:v>Direction/service</x:v>
      </x:c>
      <x:c r="H18" s="70" t="str"/>
    </x:row>
    <x:row r="19">
      <x:c r="A19" s="70" t="str">
        <x:v>Système</x:v>
      </x:c>
      <x:c r="B19" s="70" t="str">
        <x:v>Administration</x:v>
      </x:c>
      <x:c r="C19" s="70" t="str">
        <x:v>Technique</x:v>
      </x:c>
      <x:c r="D19" s="70" t="str">
        <x:v>super admin</x:v>
      </x:c>
      <x:c r="E19" s="70" t="str">
        <x:v>admin</x:v>
      </x:c>
      <x:c r="F19" s="70" t="str">
        <x:v>Oui</x:v>
      </x:c>
      <x:c r="G19" s="70" t="str">
        <x:v>Oui</x:v>
      </x:c>
      <x:c r="H19" s="70" t="str">
        <x:v>Comptes techniques et paramétrage.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0f38da96ed64dd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22" hidden="0" customWidth="1"/>
    <x:col min="4" max="4" width="24" hidden="0" customWidth="1"/>
    <x:col min="5" max="5" width="28" hidden="0" customWidth="1"/>
    <x:col min="6" max="6" width="18" hidden="0" customWidth="1"/>
    <x:col min="7" max="7" width="20" hidden="0" customWidth="1"/>
    <x:col min="8" max="8" width="18" hidden="0" customWidth="1"/>
    <x:col min="9" max="9" width="14" hidden="0" customWidth="1"/>
    <x:col min="10" max="10" width="40" hidden="0" customWidth="1"/>
  </x:cols>
  <x:sheetData>
    <x:row r="1" ht="28" customHeight="1">
      <x:c r="A1" s="5" t="str">
        <x:v>MODÈLE DE SAISIE — NOUVEAUX UTILISATEURS</x:v>
      </x:c>
    </x:row>
    <x:row r="2" ht="28" customHeight="1">
      <x:c r="A2" s="14" t="str">
        <x:v>Feuille prête pour ajouter de nouveaux utilisateurs. Les chefs doivent être marqués uniquement si la fonction/observation le confirme explicitement.</x:v>
      </x:c>
    </x:row>
    <x:row r="4">
      <x:c r="A4" s="64" t="str">
        <x:v>Nom complet</x:v>
      </x:c>
      <x:c r="B4" s="64" t="str">
        <x:v>Email</x:v>
      </x:c>
      <x:c r="C4" s="64" t="str">
        <x:v>Direction officielle</x:v>
      </x:c>
      <x:c r="D4" s="64" t="str">
        <x:v>Service / unité</x:v>
      </x:c>
      <x:c r="E4" s="64" t="str">
        <x:v>Fonction</x:v>
      </x:c>
      <x:c r="F4" s="64" t="str">
        <x:v>Est chef confirmé ?</x:v>
      </x:c>
      <x:c r="G4" s="64" t="str">
        <x:v>Rôle applicatif</x:v>
      </x:c>
      <x:c r="H4" s="64" t="str">
        <x:v>Slug rôle</x:v>
      </x:c>
      <x:c r="I4" s="64" t="str">
        <x:v>Importable ?</x:v>
      </x:c>
      <x:c r="J4" s="64" t="str">
        <x:v>Observation</x:v>
      </x:c>
    </x:row>
    <x:row r="5">
      <x:c r="A5" s="70" t="str"/>
      <x:c r="B5" s="70" t="str"/>
      <x:c r="C5" s="70" t="str"/>
      <x:c r="D5" s="70" t="str"/>
      <x:c r="E5" s="70" t="str"/>
      <x:c r="F5" s="70" t="str"/>
      <x:c r="G5" s="70" t="str"/>
      <x:c r="H5" s="70" t="str"/>
      <x:c r="I5" s="70" t="str"/>
      <x:c r="J5" s="70" t="str"/>
    </x:row>
    <x:row r="6">
      <x:c r="A6" s="70" t="str"/>
      <x:c r="B6" s="70" t="str"/>
      <x:c r="C6" s="70" t="str"/>
      <x:c r="D6" s="70" t="str"/>
      <x:c r="E6" s="70" t="str"/>
      <x:c r="F6" s="70" t="str"/>
      <x:c r="G6" s="70" t="str"/>
      <x:c r="H6" s="70" t="str"/>
      <x:c r="I6" s="70" t="str"/>
      <x:c r="J6" s="70" t="str"/>
    </x:row>
    <x:row r="7">
      <x:c r="A7" s="70" t="str"/>
      <x:c r="B7" s="70" t="str"/>
      <x:c r="C7" s="70" t="str"/>
      <x:c r="D7" s="70" t="str"/>
      <x:c r="E7" s="70" t="str"/>
      <x:c r="F7" s="70" t="str"/>
      <x:c r="G7" s="70" t="str"/>
      <x:c r="H7" s="70" t="str"/>
      <x:c r="I7" s="70" t="str"/>
      <x:c r="J7" s="70" t="str"/>
    </x:row>
    <x:row r="8">
      <x:c r="A8" s="70" t="str"/>
      <x:c r="B8" s="70" t="str"/>
      <x:c r="C8" s="70" t="str"/>
      <x:c r="D8" s="70" t="str"/>
      <x:c r="E8" s="70" t="str"/>
      <x:c r="F8" s="70" t="str"/>
      <x:c r="G8" s="70" t="str"/>
      <x:c r="H8" s="70" t="str"/>
      <x:c r="I8" s="70" t="str"/>
      <x:c r="J8" s="70" t="str"/>
    </x:row>
    <x:row r="9">
      <x:c r="A9" s="70" t="str"/>
      <x:c r="B9" s="70" t="str"/>
      <x:c r="C9" s="70" t="str"/>
      <x:c r="D9" s="70" t="str"/>
      <x:c r="E9" s="70" t="str"/>
      <x:c r="F9" s="70" t="str"/>
      <x:c r="G9" s="70" t="str"/>
      <x:c r="H9" s="70" t="str"/>
      <x:c r="I9" s="70" t="str"/>
      <x:c r="J9" s="70" t="str"/>
    </x:row>
    <x:row r="10">
      <x:c r="A10" s="70" t="str"/>
      <x:c r="B10" s="70" t="str"/>
      <x:c r="C10" s="70" t="str"/>
      <x:c r="D10" s="70" t="str"/>
      <x:c r="E10" s="70" t="str"/>
      <x:c r="F10" s="70" t="str"/>
      <x:c r="G10" s="70" t="str"/>
      <x:c r="H10" s="70" t="str"/>
      <x:c r="I10" s="70" t="str"/>
      <x:c r="J10" s="70" t="str"/>
    </x:row>
    <x:row r="11">
      <x:c r="A11" s="70" t="str"/>
      <x:c r="B11" s="70" t="str"/>
      <x:c r="C11" s="70" t="str"/>
      <x:c r="D11" s="70" t="str"/>
      <x:c r="E11" s="70" t="str"/>
      <x:c r="F11" s="70" t="str"/>
      <x:c r="G11" s="70" t="str"/>
      <x:c r="H11" s="70" t="str"/>
      <x:c r="I11" s="70" t="str"/>
      <x:c r="J11" s="70" t="str"/>
    </x:row>
    <x:row r="12">
      <x:c r="A12" s="70" t="str"/>
      <x:c r="B12" s="70" t="str"/>
      <x:c r="C12" s="70" t="str"/>
      <x:c r="D12" s="70" t="str"/>
      <x:c r="E12" s="70" t="str"/>
      <x:c r="F12" s="70" t="str"/>
      <x:c r="G12" s="70" t="str"/>
      <x:c r="H12" s="70" t="str"/>
      <x:c r="I12" s="70" t="str"/>
      <x:c r="J12" s="70" t="str"/>
    </x:row>
    <x:row r="13">
      <x:c r="A13" s="70" t="str"/>
      <x:c r="B13" s="70" t="str"/>
      <x:c r="C13" s="70" t="str"/>
      <x:c r="D13" s="70" t="str"/>
      <x:c r="E13" s="70" t="str"/>
      <x:c r="F13" s="70" t="str"/>
      <x:c r="G13" s="70" t="str"/>
      <x:c r="H13" s="70" t="str"/>
      <x:c r="I13" s="70" t="str"/>
      <x:c r="J13" s="70" t="str"/>
    </x:row>
    <x:row r="14">
      <x:c r="A14" s="70" t="str"/>
      <x:c r="B14" s="70" t="str"/>
      <x:c r="C14" s="70" t="str"/>
      <x:c r="D14" s="70" t="str"/>
      <x:c r="E14" s="70" t="str"/>
      <x:c r="F14" s="70" t="str"/>
      <x:c r="G14" s="70" t="str"/>
      <x:c r="H14" s="70" t="str"/>
      <x:c r="I14" s="70" t="str"/>
      <x:c r="J14" s="70" t="str"/>
    </x:row>
    <x:row r="15">
      <x:c r="A15" s="70" t="str"/>
      <x:c r="B15" s="70" t="str"/>
      <x:c r="C15" s="70" t="str"/>
      <x:c r="D15" s="70" t="str"/>
      <x:c r="E15" s="70" t="str"/>
      <x:c r="F15" s="70" t="str"/>
      <x:c r="G15" s="70" t="str"/>
      <x:c r="H15" s="70" t="str"/>
      <x:c r="I15" s="70" t="str"/>
      <x:c r="J15" s="70" t="str"/>
    </x:row>
    <x:row r="16">
      <x:c r="A16" s="70" t="str"/>
      <x:c r="B16" s="70" t="str"/>
      <x:c r="C16" s="70" t="str"/>
      <x:c r="D16" s="70" t="str"/>
      <x:c r="E16" s="70" t="str"/>
      <x:c r="F16" s="70" t="str"/>
      <x:c r="G16" s="70" t="str"/>
      <x:c r="H16" s="70" t="str"/>
      <x:c r="I16" s="70" t="str"/>
      <x:c r="J16" s="70" t="str"/>
    </x:row>
    <x:row r="17">
      <x:c r="A17" s="70" t="str"/>
      <x:c r="B17" s="70" t="str"/>
      <x:c r="C17" s="70" t="str"/>
      <x:c r="D17" s="70" t="str"/>
      <x:c r="E17" s="70" t="str"/>
      <x:c r="F17" s="70" t="str"/>
      <x:c r="G17" s="70" t="str"/>
      <x:c r="H17" s="70" t="str"/>
      <x:c r="I17" s="70" t="str"/>
      <x:c r="J17" s="70" t="str"/>
    </x:row>
    <x:row r="18">
      <x:c r="A18" s="70" t="str"/>
      <x:c r="B18" s="70" t="str"/>
      <x:c r="C18" s="70" t="str"/>
      <x:c r="D18" s="70" t="str"/>
      <x:c r="E18" s="70" t="str"/>
      <x:c r="F18" s="70" t="str"/>
      <x:c r="G18" s="70" t="str"/>
      <x:c r="H18" s="70" t="str"/>
      <x:c r="I18" s="70" t="str"/>
      <x:c r="J18" s="70" t="str"/>
    </x:row>
    <x:row r="19">
      <x:c r="A19" s="70" t="str"/>
      <x:c r="B19" s="70" t="str"/>
      <x:c r="C19" s="70" t="str"/>
      <x:c r="D19" s="70" t="str"/>
      <x:c r="E19" s="70" t="str"/>
      <x:c r="F19" s="70" t="str"/>
      <x:c r="G19" s="70" t="str"/>
      <x:c r="H19" s="70" t="str"/>
      <x:c r="I19" s="70" t="str"/>
      <x:c r="J19" s="70" t="str"/>
    </x:row>
    <x:row r="20">
      <x:c r="A20" s="70" t="str"/>
      <x:c r="B20" s="70" t="str"/>
      <x:c r="C20" s="70" t="str"/>
      <x:c r="D20" s="70" t="str"/>
      <x:c r="E20" s="70" t="str"/>
      <x:c r="F20" s="70" t="str"/>
      <x:c r="G20" s="70" t="str"/>
      <x:c r="H20" s="70" t="str"/>
      <x:c r="I20" s="70" t="str"/>
      <x:c r="J20" s="70" t="str"/>
    </x:row>
    <x:row r="21">
      <x:c r="A21" s="70" t="str"/>
      <x:c r="B21" s="70" t="str"/>
      <x:c r="C21" s="70" t="str"/>
      <x:c r="D21" s="70" t="str"/>
      <x:c r="E21" s="70" t="str"/>
      <x:c r="F21" s="70" t="str"/>
      <x:c r="G21" s="70" t="str"/>
      <x:c r="H21" s="70" t="str"/>
      <x:c r="I21" s="70" t="str"/>
      <x:c r="J21" s="70" t="str"/>
    </x:row>
    <x:row r="22">
      <x:c r="A22" s="70" t="str"/>
      <x:c r="B22" s="70" t="str"/>
      <x:c r="C22" s="70" t="str"/>
      <x:c r="D22" s="70" t="str"/>
      <x:c r="E22" s="70" t="str"/>
      <x:c r="F22" s="70" t="str"/>
      <x:c r="G22" s="70" t="str"/>
      <x:c r="H22" s="70" t="str"/>
      <x:c r="I22" s="70" t="str"/>
      <x:c r="J22" s="70" t="str"/>
    </x:row>
    <x:row r="23">
      <x:c r="A23" s="70" t="str"/>
      <x:c r="B23" s="70" t="str"/>
      <x:c r="C23" s="70" t="str"/>
      <x:c r="D23" s="70" t="str"/>
      <x:c r="E23" s="70" t="str"/>
      <x:c r="F23" s="70" t="str"/>
      <x:c r="G23" s="70" t="str"/>
      <x:c r="H23" s="70" t="str"/>
      <x:c r="I23" s="70" t="str"/>
      <x:c r="J23" s="70" t="str"/>
    </x:row>
    <x:row r="24">
      <x:c r="A24" s="70" t="str"/>
      <x:c r="B24" s="70" t="str"/>
      <x:c r="C24" s="70" t="str"/>
      <x:c r="D24" s="70" t="str"/>
      <x:c r="E24" s="70" t="str"/>
      <x:c r="F24" s="70" t="str"/>
      <x:c r="G24" s="70" t="str"/>
      <x:c r="H24" s="70" t="str"/>
      <x:c r="I24" s="70" t="str"/>
      <x:c r="J24" s="70" t="str"/>
    </x:row>
    <x:row r="25">
      <x:c r="A25" s="70" t="str"/>
      <x:c r="B25" s="70" t="str"/>
      <x:c r="C25" s="70" t="str"/>
      <x:c r="D25" s="70" t="str"/>
      <x:c r="E25" s="70" t="str"/>
      <x:c r="F25" s="70" t="str"/>
      <x:c r="G25" s="70" t="str"/>
      <x:c r="H25" s="70" t="str"/>
      <x:c r="I25" s="70" t="str"/>
      <x:c r="J25" s="70" t="str"/>
    </x:row>
    <x:row r="26">
      <x:c r="A26" s="70" t="str"/>
      <x:c r="B26" s="70" t="str"/>
      <x:c r="C26" s="70" t="str"/>
      <x:c r="D26" s="70" t="str"/>
      <x:c r="E26" s="70" t="str"/>
      <x:c r="F26" s="70" t="str"/>
      <x:c r="G26" s="70" t="str"/>
      <x:c r="H26" s="70" t="str"/>
      <x:c r="I26" s="70" t="str"/>
      <x:c r="J26" s="70" t="str"/>
    </x:row>
    <x:row r="27">
      <x:c r="A27" s="70" t="str"/>
      <x:c r="B27" s="70" t="str"/>
      <x:c r="C27" s="70" t="str"/>
      <x:c r="D27" s="70" t="str"/>
      <x:c r="E27" s="70" t="str"/>
      <x:c r="F27" s="70" t="str"/>
      <x:c r="G27" s="70" t="str"/>
      <x:c r="H27" s="70" t="str"/>
      <x:c r="I27" s="70" t="str"/>
      <x:c r="J27" s="70" t="str"/>
    </x:row>
    <x:row r="28">
      <x:c r="A28" s="70" t="str"/>
      <x:c r="B28" s="70" t="str"/>
      <x:c r="C28" s="70" t="str"/>
      <x:c r="D28" s="70" t="str"/>
      <x:c r="E28" s="70" t="str"/>
      <x:c r="F28" s="70" t="str"/>
      <x:c r="G28" s="70" t="str"/>
      <x:c r="H28" s="70" t="str"/>
      <x:c r="I28" s="70" t="str"/>
      <x:c r="J28" s="70" t="str"/>
    </x:row>
    <x:row r="29">
      <x:c r="A29" s="70" t="str"/>
      <x:c r="B29" s="70" t="str"/>
      <x:c r="C29" s="70" t="str"/>
      <x:c r="D29" s="70" t="str"/>
      <x:c r="E29" s="70" t="str"/>
      <x:c r="F29" s="70" t="str"/>
      <x:c r="G29" s="70" t="str"/>
      <x:c r="H29" s="70" t="str"/>
      <x:c r="I29" s="70" t="str"/>
      <x:c r="J29" s="70" t="str"/>
    </x:row>
    <x:row r="30">
      <x:c r="A30" s="70" t="str"/>
      <x:c r="B30" s="70" t="str"/>
      <x:c r="C30" s="70" t="str"/>
      <x:c r="D30" s="70" t="str"/>
      <x:c r="E30" s="70" t="str"/>
      <x:c r="F30" s="70" t="str"/>
      <x:c r="G30" s="70" t="str"/>
      <x:c r="H30" s="70" t="str"/>
      <x:c r="I30" s="70" t="str"/>
      <x:c r="J30" s="70" t="str"/>
    </x:row>
    <x:row r="31">
      <x:c r="A31" s="70" t="str"/>
      <x:c r="B31" s="70" t="str"/>
      <x:c r="C31" s="70" t="str"/>
      <x:c r="D31" s="70" t="str"/>
      <x:c r="E31" s="70" t="str"/>
      <x:c r="F31" s="70" t="str"/>
      <x:c r="G31" s="70" t="str"/>
      <x:c r="H31" s="70" t="str"/>
      <x:c r="I31" s="70" t="str"/>
      <x:c r="J31" s="70" t="str"/>
    </x:row>
    <x:row r="32">
      <x:c r="A32" s="70" t="str"/>
      <x:c r="B32" s="70" t="str"/>
      <x:c r="C32" s="70" t="str"/>
      <x:c r="D32" s="70" t="str"/>
      <x:c r="E32" s="70" t="str"/>
      <x:c r="F32" s="70" t="str"/>
      <x:c r="G32" s="70" t="str"/>
      <x:c r="H32" s="70" t="str"/>
      <x:c r="I32" s="70" t="str"/>
      <x:c r="J32" s="70" t="str"/>
    </x:row>
    <x:row r="33">
      <x:c r="A33" s="70" t="str"/>
      <x:c r="B33" s="70" t="str"/>
      <x:c r="C33" s="70" t="str"/>
      <x:c r="D33" s="70" t="str"/>
      <x:c r="E33" s="70" t="str"/>
      <x:c r="F33" s="70" t="str"/>
      <x:c r="G33" s="70" t="str"/>
      <x:c r="H33" s="70" t="str"/>
      <x:c r="I33" s="70" t="str"/>
      <x:c r="J33" s="70" t="str"/>
    </x:row>
    <x:row r="34">
      <x:c r="A34" s="70" t="str"/>
      <x:c r="B34" s="70" t="str"/>
      <x:c r="C34" s="70" t="str"/>
      <x:c r="D34" s="70" t="str"/>
      <x:c r="E34" s="70" t="str"/>
      <x:c r="F34" s="70" t="str"/>
      <x:c r="G34" s="70" t="str"/>
      <x:c r="H34" s="70" t="str"/>
      <x:c r="I34" s="70" t="str"/>
      <x:c r="J34" s="70" t="str"/>
    </x:row>
    <x:row r="35">
      <x:c r="A35" s="70" t="str"/>
      <x:c r="B35" s="70" t="str"/>
      <x:c r="C35" s="70" t="str"/>
      <x:c r="D35" s="70" t="str"/>
      <x:c r="E35" s="70" t="str"/>
      <x:c r="F35" s="70" t="str"/>
      <x:c r="G35" s="70" t="str"/>
      <x:c r="H35" s="70" t="str"/>
      <x:c r="I35" s="70" t="str"/>
      <x:c r="J35" s="70" t="str"/>
    </x:row>
    <x:row r="36">
      <x:c r="A36" s="70" t="str"/>
      <x:c r="B36" s="70" t="str"/>
      <x:c r="C36" s="70" t="str"/>
      <x:c r="D36" s="70" t="str"/>
      <x:c r="E36" s="70" t="str"/>
      <x:c r="F36" s="70" t="str"/>
      <x:c r="G36" s="70" t="str"/>
      <x:c r="H36" s="70" t="str"/>
      <x:c r="I36" s="70" t="str"/>
      <x:c r="J36" s="70" t="str"/>
    </x:row>
    <x:row r="37">
      <x:c r="A37" s="70" t="str"/>
      <x:c r="B37" s="70" t="str"/>
      <x:c r="C37" s="70" t="str"/>
      <x:c r="D37" s="70" t="str"/>
      <x:c r="E37" s="70" t="str"/>
      <x:c r="F37" s="70" t="str"/>
      <x:c r="G37" s="70" t="str"/>
      <x:c r="H37" s="70" t="str"/>
      <x:c r="I37" s="70" t="str"/>
      <x:c r="J37" s="70" t="str"/>
    </x:row>
    <x:row r="38">
      <x:c r="A38" s="70" t="str"/>
      <x:c r="B38" s="70" t="str"/>
      <x:c r="C38" s="70" t="str"/>
      <x:c r="D38" s="70" t="str"/>
      <x:c r="E38" s="70" t="str"/>
      <x:c r="F38" s="70" t="str"/>
      <x:c r="G38" s="70" t="str"/>
      <x:c r="H38" s="70" t="str"/>
      <x:c r="I38" s="70" t="str"/>
      <x:c r="J38" s="70" t="str"/>
    </x:row>
    <x:row r="39">
      <x:c r="A39" s="70" t="str"/>
      <x:c r="B39" s="70" t="str"/>
      <x:c r="C39" s="70" t="str"/>
      <x:c r="D39" s="70" t="str"/>
      <x:c r="E39" s="70" t="str"/>
      <x:c r="F39" s="70" t="str"/>
      <x:c r="G39" s="70" t="str"/>
      <x:c r="H39" s="70" t="str"/>
      <x:c r="I39" s="70" t="str"/>
      <x:c r="J39" s="70" t="str"/>
    </x:row>
    <x:row r="40">
      <x:c r="A40" s="70" t="str"/>
      <x:c r="B40" s="70" t="str"/>
      <x:c r="C40" s="70" t="str"/>
      <x:c r="D40" s="70" t="str"/>
      <x:c r="E40" s="70" t="str"/>
      <x:c r="F40" s="70" t="str"/>
      <x:c r="G40" s="70" t="str"/>
      <x:c r="H40" s="70" t="str"/>
      <x:c r="I40" s="70" t="str"/>
      <x:c r="J40" s="70" t="str"/>
    </x:row>
    <x:row r="41">
      <x:c r="A41" s="70" t="str"/>
      <x:c r="B41" s="70" t="str"/>
      <x:c r="C41" s="70" t="str"/>
      <x:c r="D41" s="70" t="str"/>
      <x:c r="E41" s="70" t="str"/>
      <x:c r="F41" s="70" t="str"/>
      <x:c r="G41" s="70" t="str"/>
      <x:c r="H41" s="70" t="str"/>
      <x:c r="I41" s="70" t="str"/>
      <x:c r="J41" s="70" t="str"/>
    </x:row>
    <x:row r="42">
      <x:c r="A42" s="70" t="str"/>
      <x:c r="B42" s="70" t="str"/>
      <x:c r="C42" s="70" t="str"/>
      <x:c r="D42" s="70" t="str"/>
      <x:c r="E42" s="70" t="str"/>
      <x:c r="F42" s="70" t="str"/>
      <x:c r="G42" s="70" t="str"/>
      <x:c r="H42" s="70" t="str"/>
      <x:c r="I42" s="70" t="str"/>
      <x:c r="J42" s="70" t="str"/>
    </x:row>
    <x:row r="43">
      <x:c r="A43" s="70" t="str"/>
      <x:c r="B43" s="70" t="str"/>
      <x:c r="C43" s="70" t="str"/>
      <x:c r="D43" s="70" t="str"/>
      <x:c r="E43" s="70" t="str"/>
      <x:c r="F43" s="70" t="str"/>
      <x:c r="G43" s="70" t="str"/>
      <x:c r="H43" s="70" t="str"/>
      <x:c r="I43" s="70" t="str"/>
      <x:c r="J43" s="70" t="str"/>
    </x:row>
    <x:row r="44">
      <x:c r="A44" s="70" t="str"/>
      <x:c r="B44" s="70" t="str"/>
      <x:c r="C44" s="70" t="str"/>
      <x:c r="D44" s="70" t="str"/>
      <x:c r="E44" s="70" t="str"/>
      <x:c r="F44" s="70" t="str"/>
      <x:c r="G44" s="70" t="str"/>
      <x:c r="H44" s="70" t="str"/>
      <x:c r="I44" s="70" t="str"/>
      <x:c r="J44" s="70" t="str"/>
    </x:row>
    <x:row r="45">
      <x:c r="A45" s="70" t="str"/>
      <x:c r="B45" s="70" t="str"/>
      <x:c r="C45" s="70" t="str"/>
      <x:c r="D45" s="70" t="str"/>
      <x:c r="E45" s="70" t="str"/>
      <x:c r="F45" s="70" t="str"/>
      <x:c r="G45" s="70" t="str"/>
      <x:c r="H45" s="70" t="str"/>
      <x:c r="I45" s="70" t="str"/>
      <x:c r="J45" s="70" t="str"/>
    </x:row>
    <x:row r="46">
      <x:c r="A46" s="70" t="str"/>
      <x:c r="B46" s="70" t="str"/>
      <x:c r="C46" s="70" t="str"/>
      <x:c r="D46" s="70" t="str"/>
      <x:c r="E46" s="70" t="str"/>
      <x:c r="F46" s="70" t="str"/>
      <x:c r="G46" s="70" t="str"/>
      <x:c r="H46" s="70" t="str"/>
      <x:c r="I46" s="70" t="str"/>
      <x:c r="J46" s="70" t="str"/>
    </x:row>
    <x:row r="47">
      <x:c r="A47" s="70" t="str"/>
      <x:c r="B47" s="70" t="str"/>
      <x:c r="C47" s="70" t="str"/>
      <x:c r="D47" s="70" t="str"/>
      <x:c r="E47" s="70" t="str"/>
      <x:c r="F47" s="70" t="str"/>
      <x:c r="G47" s="70" t="str"/>
      <x:c r="H47" s="70" t="str"/>
      <x:c r="I47" s="70" t="str"/>
      <x:c r="J47" s="70" t="str"/>
    </x:row>
    <x:row r="48">
      <x:c r="A48" s="70" t="str"/>
      <x:c r="B48" s="70" t="str"/>
      <x:c r="C48" s="70" t="str"/>
      <x:c r="D48" s="70" t="str"/>
      <x:c r="E48" s="70" t="str"/>
      <x:c r="F48" s="70" t="str"/>
      <x:c r="G48" s="70" t="str"/>
      <x:c r="H48" s="70" t="str"/>
      <x:c r="I48" s="70" t="str"/>
      <x:c r="J48" s="70" t="str"/>
    </x:row>
    <x:row r="49">
      <x:c r="A49" s="70" t="str"/>
      <x:c r="B49" s="70" t="str"/>
      <x:c r="C49" s="70" t="str"/>
      <x:c r="D49" s="70" t="str"/>
      <x:c r="E49" s="70" t="str"/>
      <x:c r="F49" s="70" t="str"/>
      <x:c r="G49" s="70" t="str"/>
      <x:c r="H49" s="70" t="str"/>
      <x:c r="I49" s="70" t="str"/>
      <x:c r="J49" s="70" t="str"/>
    </x:row>
    <x:row r="50">
      <x:c r="A50" s="70" t="str"/>
      <x:c r="B50" s="70" t="str"/>
      <x:c r="C50" s="70" t="str"/>
      <x:c r="D50" s="70" t="str"/>
      <x:c r="E50" s="70" t="str"/>
      <x:c r="F50" s="70" t="str"/>
      <x:c r="G50" s="70" t="str"/>
      <x:c r="H50" s="70" t="str"/>
      <x:c r="I50" s="70" t="str"/>
      <x:c r="J50" s="70" t="str"/>
    </x:row>
    <x:row r="51">
      <x:c r="A51" s="70" t="str"/>
      <x:c r="B51" s="70" t="str"/>
      <x:c r="C51" s="70" t="str"/>
      <x:c r="D51" s="70" t="str"/>
      <x:c r="E51" s="70" t="str"/>
      <x:c r="F51" s="70" t="str"/>
      <x:c r="G51" s="70" t="str"/>
      <x:c r="H51" s="70" t="str"/>
      <x:c r="I51" s="70" t="str"/>
      <x:c r="J51" s="70" t="str"/>
    </x:row>
    <x:row r="52">
      <x:c r="A52" s="70" t="str"/>
      <x:c r="B52" s="70" t="str"/>
      <x:c r="C52" s="70" t="str"/>
      <x:c r="D52" s="70" t="str"/>
      <x:c r="E52" s="70" t="str"/>
      <x:c r="F52" s="70" t="str"/>
      <x:c r="G52" s="70" t="str"/>
      <x:c r="H52" s="70" t="str"/>
      <x:c r="I52" s="70" t="str"/>
      <x:c r="J52" s="70" t="str"/>
    </x:row>
    <x:row r="53">
      <x:c r="A53" s="70" t="str"/>
      <x:c r="B53" s="70" t="str"/>
      <x:c r="C53" s="70" t="str"/>
      <x:c r="D53" s="70" t="str"/>
      <x:c r="E53" s="70" t="str"/>
      <x:c r="F53" s="70" t="str"/>
      <x:c r="G53" s="70" t="str"/>
      <x:c r="H53" s="70" t="str"/>
      <x:c r="I53" s="70" t="str"/>
      <x:c r="J53" s="70" t="str"/>
    </x:row>
    <x:row r="54">
      <x:c r="A54" s="70" t="str"/>
      <x:c r="B54" s="70" t="str"/>
      <x:c r="C54" s="70" t="str"/>
      <x:c r="D54" s="70" t="str"/>
      <x:c r="E54" s="70" t="str"/>
      <x:c r="F54" s="70" t="str"/>
      <x:c r="G54" s="70" t="str"/>
      <x:c r="H54" s="70" t="str"/>
      <x:c r="I54" s="70" t="str"/>
      <x:c r="J54" s="70" t="str"/>
    </x:row>
    <x:row r="55">
      <x:c r="A55" s="70" t="str"/>
      <x:c r="B55" s="70" t="str"/>
      <x:c r="C55" s="70" t="str"/>
      <x:c r="D55" s="70" t="str"/>
      <x:c r="E55" s="70" t="str"/>
      <x:c r="F55" s="70" t="str"/>
      <x:c r="G55" s="70" t="str"/>
      <x:c r="H55" s="70" t="str"/>
      <x:c r="I55" s="70" t="str"/>
      <x:c r="J55" s="70" t="str"/>
    </x:row>
    <x:row r="56">
      <x:c r="A56" s="70" t="str"/>
      <x:c r="B56" s="70" t="str"/>
      <x:c r="C56" s="70" t="str"/>
      <x:c r="D56" s="70" t="str"/>
      <x:c r="E56" s="70" t="str"/>
      <x:c r="F56" s="70" t="str"/>
      <x:c r="G56" s="70" t="str"/>
      <x:c r="H56" s="70" t="str"/>
      <x:c r="I56" s="70" t="str"/>
      <x:c r="J56" s="70" t="str"/>
    </x:row>
    <x:row r="57">
      <x:c r="A57" s="70" t="str"/>
      <x:c r="B57" s="70" t="str"/>
      <x:c r="C57" s="70" t="str"/>
      <x:c r="D57" s="70" t="str"/>
      <x:c r="E57" s="70" t="str"/>
      <x:c r="F57" s="70" t="str"/>
      <x:c r="G57" s="70" t="str"/>
      <x:c r="H57" s="70" t="str"/>
      <x:c r="I57" s="70" t="str"/>
      <x:c r="J57" s="70" t="str"/>
    </x:row>
    <x:row r="58">
      <x:c r="A58" s="70" t="str"/>
      <x:c r="B58" s="70" t="str"/>
      <x:c r="C58" s="70" t="str"/>
      <x:c r="D58" s="70" t="str"/>
      <x:c r="E58" s="70" t="str"/>
      <x:c r="F58" s="70" t="str"/>
      <x:c r="G58" s="70" t="str"/>
      <x:c r="H58" s="70" t="str"/>
      <x:c r="I58" s="70" t="str"/>
      <x:c r="J58" s="70" t="str"/>
    </x:row>
    <x:row r="59">
      <x:c r="A59" s="70" t="str"/>
      <x:c r="B59" s="70" t="str"/>
      <x:c r="C59" s="70" t="str"/>
      <x:c r="D59" s="70" t="str"/>
      <x:c r="E59" s="70" t="str"/>
      <x:c r="F59" s="70" t="str"/>
      <x:c r="G59" s="70" t="str"/>
      <x:c r="H59" s="70" t="str"/>
      <x:c r="I59" s="70" t="str"/>
      <x:c r="J59" s="70" t="str"/>
    </x:row>
    <x:row r="60">
      <x:c r="A60" s="70" t="str"/>
      <x:c r="B60" s="70" t="str"/>
      <x:c r="C60" s="70" t="str"/>
      <x:c r="D60" s="70" t="str"/>
      <x:c r="E60" s="70" t="str"/>
      <x:c r="F60" s="70" t="str"/>
      <x:c r="G60" s="70" t="str"/>
      <x:c r="H60" s="70" t="str"/>
      <x:c r="I60" s="70" t="str"/>
      <x:c r="J60" s="70" t="str"/>
    </x:row>
    <x:row r="61">
      <x:c r="A61" s="70" t="str"/>
      <x:c r="B61" s="70" t="str"/>
      <x:c r="C61" s="70" t="str"/>
      <x:c r="D61" s="70" t="str"/>
      <x:c r="E61" s="70" t="str"/>
      <x:c r="F61" s="70" t="str"/>
      <x:c r="G61" s="70" t="str"/>
      <x:c r="H61" s="70" t="str"/>
      <x:c r="I61" s="70" t="str"/>
      <x:c r="J61" s="70" t="str"/>
    </x:row>
    <x:row r="62">
      <x:c r="A62" s="70" t="str"/>
      <x:c r="B62" s="70" t="str"/>
      <x:c r="C62" s="70" t="str"/>
      <x:c r="D62" s="70" t="str"/>
      <x:c r="E62" s="70" t="str"/>
      <x:c r="F62" s="70" t="str"/>
      <x:c r="G62" s="70" t="str"/>
      <x:c r="H62" s="70" t="str"/>
      <x:c r="I62" s="70" t="str"/>
      <x:c r="J62" s="70" t="str"/>
    </x:row>
    <x:row r="63">
      <x:c r="A63" s="70" t="str"/>
      <x:c r="B63" s="70" t="str"/>
      <x:c r="C63" s="70" t="str"/>
      <x:c r="D63" s="70" t="str"/>
      <x:c r="E63" s="70" t="str"/>
      <x:c r="F63" s="70" t="str"/>
      <x:c r="G63" s="70" t="str"/>
      <x:c r="H63" s="70" t="str"/>
      <x:c r="I63" s="70" t="str"/>
      <x:c r="J63" s="70" t="str"/>
    </x:row>
    <x:row r="64">
      <x:c r="A64" s="70" t="str"/>
      <x:c r="B64" s="70" t="str"/>
      <x:c r="C64" s="70" t="str"/>
      <x:c r="D64" s="70" t="str"/>
      <x:c r="E64" s="70" t="str"/>
      <x:c r="F64" s="70" t="str"/>
      <x:c r="G64" s="70" t="str"/>
      <x:c r="H64" s="70" t="str"/>
      <x:c r="I64" s="70" t="str"/>
      <x:c r="J64" s="70" t="str"/>
    </x:row>
    <x:row r="65">
      <x:c r="A65" s="70" t="str"/>
      <x:c r="B65" s="70" t="str"/>
      <x:c r="C65" s="70" t="str"/>
      <x:c r="D65" s="70" t="str"/>
      <x:c r="E65" s="70" t="str"/>
      <x:c r="F65" s="70" t="str"/>
      <x:c r="G65" s="70" t="str"/>
      <x:c r="H65" s="70" t="str"/>
      <x:c r="I65" s="70" t="str"/>
      <x:c r="J65" s="70" t="str"/>
    </x:row>
    <x:row r="66">
      <x:c r="A66" s="70" t="str"/>
      <x:c r="B66" s="70" t="str"/>
      <x:c r="C66" s="70" t="str"/>
      <x:c r="D66" s="70" t="str"/>
      <x:c r="E66" s="70" t="str"/>
      <x:c r="F66" s="70" t="str"/>
      <x:c r="G66" s="70" t="str"/>
      <x:c r="H66" s="70" t="str"/>
      <x:c r="I66" s="70" t="str"/>
      <x:c r="J66" s="70" t="str"/>
    </x:row>
    <x:row r="67">
      <x:c r="A67" s="70" t="str"/>
      <x:c r="B67" s="70" t="str"/>
      <x:c r="C67" s="70" t="str"/>
      <x:c r="D67" s="70" t="str"/>
      <x:c r="E67" s="70" t="str"/>
      <x:c r="F67" s="70" t="str"/>
      <x:c r="G67" s="70" t="str"/>
      <x:c r="H67" s="70" t="str"/>
      <x:c r="I67" s="70" t="str"/>
      <x:c r="J67" s="70" t="str"/>
    </x:row>
    <x:row r="68">
      <x:c r="A68" s="70" t="str"/>
      <x:c r="B68" s="70" t="str"/>
      <x:c r="C68" s="70" t="str"/>
      <x:c r="D68" s="70" t="str"/>
      <x:c r="E68" s="70" t="str"/>
      <x:c r="F68" s="70" t="str"/>
      <x:c r="G68" s="70" t="str"/>
      <x:c r="H68" s="70" t="str"/>
      <x:c r="I68" s="70" t="str"/>
      <x:c r="J68" s="70" t="str"/>
    </x:row>
    <x:row r="69">
      <x:c r="A69" s="70" t="str"/>
      <x:c r="B69" s="70" t="str"/>
      <x:c r="C69" s="70" t="str"/>
      <x:c r="D69" s="70" t="str"/>
      <x:c r="E69" s="70" t="str"/>
      <x:c r="F69" s="70" t="str"/>
      <x:c r="G69" s="70" t="str"/>
      <x:c r="H69" s="70" t="str"/>
      <x:c r="I69" s="70" t="str"/>
      <x:c r="J69" s="70" t="str"/>
    </x:row>
    <x:row r="70">
      <x:c r="A70" s="70" t="str"/>
      <x:c r="B70" s="70" t="str"/>
      <x:c r="C70" s="70" t="str"/>
      <x:c r="D70" s="70" t="str"/>
      <x:c r="E70" s="70" t="str"/>
      <x:c r="F70" s="70" t="str"/>
      <x:c r="G70" s="70" t="str"/>
      <x:c r="H70" s="70" t="str"/>
      <x:c r="I70" s="70" t="str"/>
      <x:c r="J70" s="70" t="str"/>
    </x:row>
    <x:row r="71">
      <x:c r="A71" s="70" t="str"/>
      <x:c r="B71" s="70" t="str"/>
      <x:c r="C71" s="70" t="str"/>
      <x:c r="D71" s="70" t="str"/>
      <x:c r="E71" s="70" t="str"/>
      <x:c r="F71" s="70" t="str"/>
      <x:c r="G71" s="70" t="str"/>
      <x:c r="H71" s="70" t="str"/>
      <x:c r="I71" s="70" t="str"/>
      <x:c r="J71" s="70" t="str"/>
    </x:row>
    <x:row r="72">
      <x:c r="A72" s="70" t="str"/>
      <x:c r="B72" s="70" t="str"/>
      <x:c r="C72" s="70" t="str"/>
      <x:c r="D72" s="70" t="str"/>
      <x:c r="E72" s="70" t="str"/>
      <x:c r="F72" s="70" t="str"/>
      <x:c r="G72" s="70" t="str"/>
      <x:c r="H72" s="70" t="str"/>
      <x:c r="I72" s="70" t="str"/>
      <x:c r="J72" s="70" t="str"/>
    </x:row>
    <x:row r="73">
      <x:c r="A73" s="70" t="str"/>
      <x:c r="B73" s="70" t="str"/>
      <x:c r="C73" s="70" t="str"/>
      <x:c r="D73" s="70" t="str"/>
      <x:c r="E73" s="70" t="str"/>
      <x:c r="F73" s="70" t="str"/>
      <x:c r="G73" s="70" t="str"/>
      <x:c r="H73" s="70" t="str"/>
      <x:c r="I73" s="70" t="str"/>
      <x:c r="J73" s="70" t="str"/>
    </x:row>
    <x:row r="74">
      <x:c r="A74" s="70" t="str"/>
      <x:c r="B74" s="70" t="str"/>
      <x:c r="C74" s="70" t="str"/>
      <x:c r="D74" s="70" t="str"/>
      <x:c r="E74" s="70" t="str"/>
      <x:c r="F74" s="70" t="str"/>
      <x:c r="G74" s="70" t="str"/>
      <x:c r="H74" s="70" t="str"/>
      <x:c r="I74" s="70" t="str"/>
      <x:c r="J74" s="70" t="str"/>
    </x:row>
    <x:row r="75">
      <x:c r="A75" s="70" t="str"/>
      <x:c r="B75" s="70" t="str"/>
      <x:c r="C75" s="70" t="str"/>
      <x:c r="D75" s="70" t="str"/>
      <x:c r="E75" s="70" t="str"/>
      <x:c r="F75" s="70" t="str"/>
      <x:c r="G75" s="70" t="str"/>
      <x:c r="H75" s="70" t="str"/>
      <x:c r="I75" s="70" t="str"/>
      <x:c r="J75" s="70" t="str"/>
    </x:row>
    <x:row r="76">
      <x:c r="A76" s="70" t="str"/>
      <x:c r="B76" s="70" t="str"/>
      <x:c r="C76" s="70" t="str"/>
      <x:c r="D76" s="70" t="str"/>
      <x:c r="E76" s="70" t="str"/>
      <x:c r="F76" s="70" t="str"/>
      <x:c r="G76" s="70" t="str"/>
      <x:c r="H76" s="70" t="str"/>
      <x:c r="I76" s="70" t="str"/>
      <x:c r="J76" s="70" t="str"/>
    </x:row>
    <x:row r="77">
      <x:c r="A77" s="70" t="str"/>
      <x:c r="B77" s="70" t="str"/>
      <x:c r="C77" s="70" t="str"/>
      <x:c r="D77" s="70" t="str"/>
      <x:c r="E77" s="70" t="str"/>
      <x:c r="F77" s="70" t="str"/>
      <x:c r="G77" s="70" t="str"/>
      <x:c r="H77" s="70" t="str"/>
      <x:c r="I77" s="70" t="str"/>
      <x:c r="J77" s="70" t="str"/>
    </x:row>
    <x:row r="78">
      <x:c r="A78" s="70" t="str"/>
      <x:c r="B78" s="70" t="str"/>
      <x:c r="C78" s="70" t="str"/>
      <x:c r="D78" s="70" t="str"/>
      <x:c r="E78" s="70" t="str"/>
      <x:c r="F78" s="70" t="str"/>
      <x:c r="G78" s="70" t="str"/>
      <x:c r="H78" s="70" t="str"/>
      <x:c r="I78" s="70" t="str"/>
      <x:c r="J78" s="70" t="str"/>
    </x:row>
    <x:row r="79">
      <x:c r="A79" s="70" t="str"/>
      <x:c r="B79" s="70" t="str"/>
      <x:c r="C79" s="70" t="str"/>
      <x:c r="D79" s="70" t="str"/>
      <x:c r="E79" s="70" t="str"/>
      <x:c r="F79" s="70" t="str"/>
      <x:c r="G79" s="70" t="str"/>
      <x:c r="H79" s="70" t="str"/>
      <x:c r="I79" s="70" t="str"/>
      <x:c r="J79" s="70" t="str"/>
    </x:row>
    <x:row r="80">
      <x:c r="A80" s="70" t="str"/>
      <x:c r="B80" s="70" t="str"/>
      <x:c r="C80" s="70" t="str"/>
      <x:c r="D80" s="70" t="str"/>
      <x:c r="E80" s="70" t="str"/>
      <x:c r="F80" s="70" t="str"/>
      <x:c r="G80" s="70" t="str"/>
      <x:c r="H80" s="70" t="str"/>
      <x:c r="I80" s="70" t="str"/>
      <x:c r="J80" s="70" t="str"/>
    </x:row>
    <x:row r="81">
      <x:c r="A81" s="70" t="str"/>
      <x:c r="B81" s="70" t="str"/>
      <x:c r="C81" s="70" t="str"/>
      <x:c r="D81" s="70" t="str"/>
      <x:c r="E81" s="70" t="str"/>
      <x:c r="F81" s="70" t="str"/>
      <x:c r="G81" s="70" t="str"/>
      <x:c r="H81" s="70" t="str"/>
      <x:c r="I81" s="70" t="str"/>
      <x:c r="J81" s="70" t="str"/>
    </x:row>
    <x:row r="82">
      <x:c r="A82" s="70" t="str"/>
      <x:c r="B82" s="70" t="str"/>
      <x:c r="C82" s="70" t="str"/>
      <x:c r="D82" s="70" t="str"/>
      <x:c r="E82" s="70" t="str"/>
      <x:c r="F82" s="70" t="str"/>
      <x:c r="G82" s="70" t="str"/>
      <x:c r="H82" s="70" t="str"/>
      <x:c r="I82" s="70" t="str"/>
      <x:c r="J82" s="70" t="str"/>
    </x:row>
    <x:row r="83">
      <x:c r="A83" s="70" t="str"/>
      <x:c r="B83" s="70" t="str"/>
      <x:c r="C83" s="70" t="str"/>
      <x:c r="D83" s="70" t="str"/>
      <x:c r="E83" s="70" t="str"/>
      <x:c r="F83" s="70" t="str"/>
      <x:c r="G83" s="70" t="str"/>
      <x:c r="H83" s="70" t="str"/>
      <x:c r="I83" s="70" t="str"/>
      <x:c r="J83" s="70" t="str"/>
    </x:row>
    <x:row r="84">
      <x:c r="A84" s="70" t="str"/>
      <x:c r="B84" s="70" t="str"/>
      <x:c r="C84" s="70" t="str"/>
      <x:c r="D84" s="70" t="str"/>
      <x:c r="E84" s="70" t="str"/>
      <x:c r="F84" s="70" t="str"/>
      <x:c r="G84" s="70" t="str"/>
      <x:c r="H84" s="70" t="str"/>
      <x:c r="I84" s="70" t="str"/>
      <x:c r="J84" s="70" t="str"/>
    </x:row>
    <x:row r="85">
      <x:c r="A85" s="70" t="str"/>
      <x:c r="B85" s="70" t="str"/>
      <x:c r="C85" s="70" t="str"/>
      <x:c r="D85" s="70" t="str"/>
      <x:c r="E85" s="70" t="str"/>
      <x:c r="F85" s="70" t="str"/>
      <x:c r="G85" s="70" t="str"/>
      <x:c r="H85" s="70" t="str"/>
      <x:c r="I85" s="70" t="str"/>
      <x:c r="J85" s="70" t="str"/>
    </x:row>
    <x:row r="86">
      <x:c r="A86" s="70" t="str"/>
      <x:c r="B86" s="70" t="str"/>
      <x:c r="C86" s="70" t="str"/>
      <x:c r="D86" s="70" t="str"/>
      <x:c r="E86" s="70" t="str"/>
      <x:c r="F86" s="70" t="str"/>
      <x:c r="G86" s="70" t="str"/>
      <x:c r="H86" s="70" t="str"/>
      <x:c r="I86" s="70" t="str"/>
      <x:c r="J86" s="70" t="str"/>
    </x:row>
    <x:row r="87">
      <x:c r="A87" s="70" t="str"/>
      <x:c r="B87" s="70" t="str"/>
      <x:c r="C87" s="70" t="str"/>
      <x:c r="D87" s="70" t="str"/>
      <x:c r="E87" s="70" t="str"/>
      <x:c r="F87" s="70" t="str"/>
      <x:c r="G87" s="70" t="str"/>
      <x:c r="H87" s="70" t="str"/>
      <x:c r="I87" s="70" t="str"/>
      <x:c r="J87" s="70" t="str"/>
    </x:row>
    <x:row r="88">
      <x:c r="A88" s="70" t="str"/>
      <x:c r="B88" s="70" t="str"/>
      <x:c r="C88" s="70" t="str"/>
      <x:c r="D88" s="70" t="str"/>
      <x:c r="E88" s="70" t="str"/>
      <x:c r="F88" s="70" t="str"/>
      <x:c r="G88" s="70" t="str"/>
      <x:c r="H88" s="70" t="str"/>
      <x:c r="I88" s="70" t="str"/>
      <x:c r="J88" s="70" t="str"/>
    </x:row>
    <x:row r="89">
      <x:c r="A89" s="70" t="str"/>
      <x:c r="B89" s="70" t="str"/>
      <x:c r="C89" s="70" t="str"/>
      <x:c r="D89" s="70" t="str"/>
      <x:c r="E89" s="70" t="str"/>
      <x:c r="F89" s="70" t="str"/>
      <x:c r="G89" s="70" t="str"/>
      <x:c r="H89" s="70" t="str"/>
      <x:c r="I89" s="70" t="str"/>
      <x:c r="J89" s="70" t="str"/>
    </x:row>
    <x:row r="90">
      <x:c r="A90" s="70" t="str"/>
      <x:c r="B90" s="70" t="str"/>
      <x:c r="C90" s="70" t="str"/>
      <x:c r="D90" s="70" t="str"/>
      <x:c r="E90" s="70" t="str"/>
      <x:c r="F90" s="70" t="str"/>
      <x:c r="G90" s="70" t="str"/>
      <x:c r="H90" s="70" t="str"/>
      <x:c r="I90" s="70" t="str"/>
      <x:c r="J90" s="70" t="str"/>
    </x:row>
    <x:row r="91">
      <x:c r="A91" s="70" t="str"/>
      <x:c r="B91" s="70" t="str"/>
      <x:c r="C91" s="70" t="str"/>
      <x:c r="D91" s="70" t="str"/>
      <x:c r="E91" s="70" t="str"/>
      <x:c r="F91" s="70" t="str"/>
      <x:c r="G91" s="70" t="str"/>
      <x:c r="H91" s="70" t="str"/>
      <x:c r="I91" s="70" t="str"/>
      <x:c r="J91" s="70" t="str"/>
    </x:row>
    <x:row r="92">
      <x:c r="A92" s="70" t="str"/>
      <x:c r="B92" s="70" t="str"/>
      <x:c r="C92" s="70" t="str"/>
      <x:c r="D92" s="70" t="str"/>
      <x:c r="E92" s="70" t="str"/>
      <x:c r="F92" s="70" t="str"/>
      <x:c r="G92" s="70" t="str"/>
      <x:c r="H92" s="70" t="str"/>
      <x:c r="I92" s="70" t="str"/>
      <x:c r="J92" s="70" t="str"/>
    </x:row>
    <x:row r="93">
      <x:c r="A93" s="70" t="str"/>
      <x:c r="B93" s="70" t="str"/>
      <x:c r="C93" s="70" t="str"/>
      <x:c r="D93" s="70" t="str"/>
      <x:c r="E93" s="70" t="str"/>
      <x:c r="F93" s="70" t="str"/>
      <x:c r="G93" s="70" t="str"/>
      <x:c r="H93" s="70" t="str"/>
      <x:c r="I93" s="70" t="str"/>
      <x:c r="J93" s="70" t="str"/>
    </x:row>
    <x:row r="94">
      <x:c r="A94" s="70" t="str"/>
      <x:c r="B94" s="70" t="str"/>
      <x:c r="C94" s="70" t="str"/>
      <x:c r="D94" s="70" t="str"/>
      <x:c r="E94" s="70" t="str"/>
      <x:c r="F94" s="70" t="str"/>
      <x:c r="G94" s="70" t="str"/>
      <x:c r="H94" s="70" t="str"/>
      <x:c r="I94" s="70" t="str"/>
      <x:c r="J94" s="70" t="str"/>
    </x:row>
    <x:row r="95">
      <x:c r="A95" s="70" t="str"/>
      <x:c r="B95" s="70" t="str"/>
      <x:c r="C95" s="70" t="str"/>
      <x:c r="D95" s="70" t="str"/>
      <x:c r="E95" s="70" t="str"/>
      <x:c r="F95" s="70" t="str"/>
      <x:c r="G95" s="70" t="str"/>
      <x:c r="H95" s="70" t="str"/>
      <x:c r="I95" s="70" t="str"/>
      <x:c r="J95" s="70" t="str"/>
    </x:row>
    <x:row r="96">
      <x:c r="A96" s="70" t="str"/>
      <x:c r="B96" s="70" t="str"/>
      <x:c r="C96" s="70" t="str"/>
      <x:c r="D96" s="70" t="str"/>
      <x:c r="E96" s="70" t="str"/>
      <x:c r="F96" s="70" t="str"/>
      <x:c r="G96" s="70" t="str"/>
      <x:c r="H96" s="70" t="str"/>
      <x:c r="I96" s="70" t="str"/>
      <x:c r="J96" s="70" t="str"/>
    </x:row>
    <x:row r="97">
      <x:c r="A97" s="70" t="str"/>
      <x:c r="B97" s="70" t="str"/>
      <x:c r="C97" s="70" t="str"/>
      <x:c r="D97" s="70" t="str"/>
      <x:c r="E97" s="70" t="str"/>
      <x:c r="F97" s="70" t="str"/>
      <x:c r="G97" s="70" t="str"/>
      <x:c r="H97" s="70" t="str"/>
      <x:c r="I97" s="70" t="str"/>
      <x:c r="J97" s="70" t="str"/>
    </x:row>
    <x:row r="98">
      <x:c r="A98" s="70" t="str"/>
      <x:c r="B98" s="70" t="str"/>
      <x:c r="C98" s="70" t="str"/>
      <x:c r="D98" s="70" t="str"/>
      <x:c r="E98" s="70" t="str"/>
      <x:c r="F98" s="70" t="str"/>
      <x:c r="G98" s="70" t="str"/>
      <x:c r="H98" s="70" t="str"/>
      <x:c r="I98" s="70" t="str"/>
      <x:c r="J98" s="70" t="str"/>
    </x:row>
    <x:row r="99">
      <x:c r="A99" s="70" t="str"/>
      <x:c r="B99" s="70" t="str"/>
      <x:c r="C99" s="70" t="str"/>
      <x:c r="D99" s="70" t="str"/>
      <x:c r="E99" s="70" t="str"/>
      <x:c r="F99" s="70" t="str"/>
      <x:c r="G99" s="70" t="str"/>
      <x:c r="H99" s="70" t="str"/>
      <x:c r="I99" s="70" t="str"/>
      <x:c r="J99" s="70" t="str"/>
    </x:row>
    <x:row r="100">
      <x:c r="A100" s="70" t="str"/>
      <x:c r="B100" s="70" t="str"/>
      <x:c r="C100" s="70" t="str"/>
      <x:c r="D100" s="70" t="str"/>
      <x:c r="E100" s="70" t="str"/>
      <x:c r="F100" s="70" t="str"/>
      <x:c r="G100" s="70" t="str"/>
      <x:c r="H100" s="70" t="str"/>
      <x:c r="I100" s="70" t="str"/>
      <x:c r="J100" s="70" t="str"/>
    </x:row>
    <x:row r="101">
      <x:c r="A101" s="70" t="str"/>
      <x:c r="B101" s="70" t="str"/>
      <x:c r="C101" s="70" t="str"/>
      <x:c r="D101" s="70" t="str"/>
      <x:c r="E101" s="70" t="str"/>
      <x:c r="F101" s="70" t="str"/>
      <x:c r="G101" s="70" t="str"/>
      <x:c r="H101" s="70" t="str"/>
      <x:c r="I101" s="70" t="str"/>
      <x:c r="J101" s="70" t="str"/>
    </x:row>
    <x:row r="102">
      <x:c r="A102" s="70" t="str"/>
      <x:c r="B102" s="70" t="str"/>
      <x:c r="C102" s="70" t="str"/>
      <x:c r="D102" s="70" t="str"/>
      <x:c r="E102" s="70" t="str"/>
      <x:c r="F102" s="70" t="str"/>
      <x:c r="G102" s="70" t="str"/>
      <x:c r="H102" s="70" t="str"/>
      <x:c r="I102" s="70" t="str"/>
      <x:c r="J102" s="70" t="str"/>
    </x:row>
    <x:row r="103">
      <x:c r="A103" s="70" t="str"/>
      <x:c r="B103" s="70" t="str"/>
      <x:c r="C103" s="70" t="str"/>
      <x:c r="D103" s="70" t="str"/>
      <x:c r="E103" s="70" t="str"/>
      <x:c r="F103" s="70" t="str"/>
      <x:c r="G103" s="70" t="str"/>
      <x:c r="H103" s="70" t="str"/>
      <x:c r="I103" s="70" t="str"/>
      <x:c r="J103" s="70" t="str"/>
    </x:row>
    <x:row r="104">
      <x:c r="A104" s="70" t="str"/>
      <x:c r="B104" s="70" t="str"/>
      <x:c r="C104" s="70" t="str"/>
      <x:c r="D104" s="70" t="str"/>
      <x:c r="E104" s="70" t="str"/>
      <x:c r="F104" s="70" t="str"/>
      <x:c r="G104" s="70" t="str"/>
      <x:c r="H104" s="70" t="str"/>
      <x:c r="I104" s="70" t="str"/>
      <x:c r="J104" s="70" t="str"/>
    </x:row>
  </x:sheetData>
  <x:mergeCells>
    <x:mergeCell ref="A1:J1"/>
    <x:mergeCell ref="A2:J2"/>
  </x:mergeCells>
  <x:dataValidations count="4">
    <x:dataValidation type="list" sqref="C5:C104">
      <x:formula1>"Cabinet du DG,DAF,DS,DSIC,Système"</x:formula1>
    </x:dataValidation>
    <x:dataValidation type="list" sqref="F5:F104">
      <x:formula1>"Oui,Non"</x:formula1>
    </x:dataValidation>
    <x:dataValidation type="list" sqref="G5:G104">
      <x:formula1>"admin,super admin,DG,directeur,chef de service,chef unité,collaborateur,SCIQ,UCAS,planification,agent"</x:formula1>
    </x:dataValidation>
    <x:dataValidation type="list" sqref="I5:I104">
      <x:formula1>"Oui,Non,À contrôler"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48d192f29a4c5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30" hidden="0" customWidth="1"/>
    <x:col min="4" max="4" width="48" hidden="0" customWidth="1"/>
  </x:cols>
  <x:sheetData>
    <x:row r="1" ht="28" customHeight="1">
      <x:c r="A1" s="5" t="str">
        <x:v>LIGNES SUPPRIMÉES</x:v>
      </x:c>
    </x:row>
    <x:row r="2" ht="28" customHeight="1">
      <x:c r="A2" s="14" t="str">
        <x:v>Les lignes source 46 et 51 ont été supprimées de la base principale comme demandé.</x:v>
      </x:c>
    </x:row>
    <x:row r="4">
      <x:c r="A4" s="74" t="str">
        <x:v>Ancienne ligne source</x:v>
      </x:c>
      <x:c r="B4" s="74" t="str">
        <x:v>Nom complet</x:v>
      </x:c>
      <x:c r="C4" s="74" t="str">
        <x:v>Email</x:v>
      </x:c>
      <x:c r="D4" s="74" t="str">
        <x:v>Motif suppression</x:v>
      </x:c>
    </x:row>
    <x:row r="5">
      <x:c r="A5" s="69" t="n">
        <x:v>46</x:v>
      </x:c>
      <x:c r="B5" s="69" t="str">
        <x:v>DOGUI Marie Raphaelle</x:v>
      </x:c>
      <x:c r="C5" s="69" t="str">
        <x:v>marie.dogui@anbg.ga</x:v>
      </x:c>
      <x:c r="D5" s="69" t="str">
        <x:v>Ancien doublon supprimé à la demande utilisateur</x:v>
      </x:c>
    </x:row>
    <x:row r="6">
      <x:c r="A6" s="69" t="n">
        <x:v>51</x:v>
      </x:c>
      <x:c r="B6" s="69" t="str">
        <x:v>NDOUTOUME Jean Servais</x:v>
      </x:c>
      <x:c r="C6" s="69" t="str">
        <x:v>jean.ndoutoume@anbg.ga</x:v>
      </x:c>
      <x:c r="D6" s="69" t="str">
        <x:v>Ancien doublon supprimé à la demande utilisateur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d9c2f1399e8400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40" hidden="0" customWidth="1"/>
    <x:col min="4" max="4" width="40" hidden="0" customWidth="1"/>
    <x:col min="5" max="5" width="16" hidden="0" customWidth="1"/>
  </x:cols>
  <x:sheetData>
    <x:row r="1" ht="28" customHeight="1">
      <x:c r="A1" s="5" t="str">
        <x:v>RÈGLES DE MISE À JOUR APPLIQUÉES</x:v>
      </x:c>
    </x:row>
    <x:row r="2" ht="28" customHeight="1">
      <x:c r="A2" s="14" t="str">
        <x:v>Historique des corrections appliquées pour cette version du classeur.</x:v>
      </x:c>
    </x:row>
    <x:row r="4">
      <x:c r="A4" s="64" t="str">
        <x:v>Point corrigé</x:v>
      </x:c>
      <x:c r="B4" s="64" t="str">
        <x:v>Ancienne situation</x:v>
      </x:c>
      <x:c r="C4" s="64" t="str">
        <x:v>Nouvelle règle appliquée</x:v>
      </x:c>
      <x:c r="D4" s="64" t="str">
        <x:v>Impact dans le fichier</x:v>
      </x:c>
      <x:c r="E4" s="64" t="str">
        <x:v>Contrôle</x:v>
      </x:c>
    </x:row>
    <x:row r="5">
      <x:c r="A5" s="70" t="str">
        <x:v>Chefs de service / unité</x:v>
      </x:c>
      <x:c r="B5" s="70" t="str">
        <x:v>Tous les rôles source 'service' étaient parfois traités comme chefs.</x:v>
      </x:c>
      <x:c r="C5" s="70" t="str">
        <x:v>Un chef est uniquement confirmé si la fonction/observation source mentionne explicitement Chef service, Chef service X ou Responsable UCAS.</x:v>
      </x:c>
      <x:c r="D5" s="70" t="str">
        <x:v>Les colonnes Service/unité et Est chef sont jaunes seulement pour les chefs confirmés.</x:v>
      </x:c>
      <x:c r="E5" s="70" t="str">
        <x:v>OK</x:v>
      </x:c>
    </x:row>
    <x:row r="6">
      <x:c r="A6" s="70" t="str">
        <x:v>Lignes 3 à 7</x:v>
      </x:c>
      <x:c r="B6" s="70" t="str">
        <x:v>Sans rattachement dans l’extraction du 19/05.</x:v>
      </x:c>
      <x:c r="C6" s="70" t="str">
        <x:v>Rattachement à Cabinet du DG / UCAS selon la base métier antérieure.</x:v>
      </x:c>
      <x:c r="D6" s="70" t="str">
        <x:v>MBAZOGO NGUEMA Suzy devient chef unité UCAS ; les autres deviennent agents UCAS.</x:v>
      </x:c>
      <x:c r="E6" s="70" t="str">
        <x:v>OK</x:v>
      </x:c>
    </x:row>
    <x:row r="7">
      <x:c r="A7" s="70" t="str">
        <x:v>Suppression 46 et 51</x:v>
      </x:c>
      <x:c r="B7" s="70" t="str">
        <x:v>Doublons DOGUI et NDOUTOUME.</x:v>
      </x:c>
      <x:c r="C7" s="70" t="str">
        <x:v>Lignes supprimées de Base_Import.</x:v>
      </x:c>
      <x:c r="D7" s="70" t="str">
        <x:v>Feuille Lignes_Supprimees ajoutée pour traçabilité.</x:v>
      </x:c>
      <x:c r="E7" s="70" t="str">
        <x:v>OK</x:v>
      </x:c>
    </x:row>
    <x:row r="8">
      <x:c r="A8" s="70" t="str">
        <x:v>SCIQ vs Planification</x:v>
      </x:c>
      <x:c r="B8" s="70" t="str">
        <x:v>Certains agents SCIQ étaient mélangés avec Planification.</x:v>
      </x:c>
      <x:c r="C8" s="70" t="str">
        <x:v>SCIQ reste sous Cabinet du DG ; Planification est rattaché à DS avec droits transversaux.</x:v>
      </x:c>
      <x:c r="D8" s="70" t="str">
        <x:v>LEANDRY, DOGUI, KOMBA, NDOUTOUME, NTSITSIGUI rattachés à DS/Planification.</x:v>
      </x:c>
      <x:c r="E8" s="70" t="str">
        <x:v>OK</x:v>
      </x:c>
    </x:row>
    <x:row r="9">
      <x:c r="A9" s="70" t="str">
        <x:v>DG/DGA comme directions</x:v>
      </x:c>
      <x:c r="B9" s="70" t="str">
        <x:v>DG/DGA utilisés comme directions source.</x:v>
      </x:c>
      <x:c r="C9" s="70" t="str">
        <x:v>La direction officielle devient Cabinet du DG pour les profils DG/DGA/Cabinet.</x:v>
      </x:c>
      <x:c r="D9" s="70" t="str">
        <x:v>Les anciens codes restent en source, pas en direction officielle.</x:v>
      </x:c>
      <x:c r="E9" s="70" t="str">
        <x:v>OK</x:v>
      </x:c>
    </x:row>
    <x:row r="10">
      <x:c r="A10" s="70" t="str">
        <x:v>UCAS</x:v>
      </x:c>
      <x:c r="B10" s="70" t="str">
        <x:v>UCAS pouvait hériter d’une vue globale.</x:v>
      </x:c>
      <x:c r="C10" s="70" t="str">
        <x:v>UCAS reste opérationnel simple sans double interface globale.</x:v>
      </x:c>
      <x:c r="D10" s="70" t="str">
        <x:v>Agents UCAS et responsable UCAS corrigés.</x:v>
      </x:c>
      <x:c r="E10" s="70" t="str">
        <x:v>OK</x:v>
      </x:c>
    </x:row>
    <x:row r="11">
      <x:c r="A11" s="70" t="str">
        <x:v>EB / ENB</x:v>
      </x:c>
      <x:c r="B11" s="70" t="str">
        <x:v>Risque de convertir EB vers ENB.</x:v>
      </x:c>
      <x:c r="C11" s="70" t="str">
        <x:v>Aucune conversion automatique.</x:v>
      </x:c>
      <x:c r="D11" s="70" t="str">
        <x:v>EB conservé et marqué À confirmer.</x:v>
      </x:c>
      <x:c r="E11" s="70" t="str">
        <x:v>À confirmer</x:v>
      </x:c>
    </x:row>
    <x:row r="12">
      <x:c r="A12" s="70" t="str">
        <x:v>CIQ / SCIQ</x:v>
      </x:c>
      <x:c r="B12" s="70" t="str">
        <x:v>Risque de conversion automatique.</x:v>
      </x:c>
      <x:c r="C12" s="70" t="str">
        <x:v>Aucune conversion automatique.</x:v>
      </x:c>
      <x:c r="D12" s="70" t="str">
        <x:v>Seul SCIQ explicite est utilisé.</x:v>
      </x:c>
      <x:c r="E12" s="70" t="str">
        <x:v>OK</x:v>
      </x:c>
    </x:row>
    <x:row r="13">
      <x:c r="A13" s="70" t="str">
        <x:v>FC / SFC</x:v>
      </x:c>
      <x:c r="B13" s="70" t="str">
        <x:v>Risque de conversion automatique.</x:v>
      </x:c>
      <x:c r="C13" s="70" t="str">
        <x:v>Aucune conversion automatique.</x:v>
      </x:c>
      <x:c r="D13" s="70" t="str">
        <x:v>Aucune ligne FC trouvée ; règle rappelée.</x:v>
      </x:c>
      <x:c r="E13" s="70" t="str">
        <x:v>OK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57c8fe94ee4345a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8" hidden="0" customWidth="1"/>
    <x:col min="3" max="3" width="60" hidden="0" customWidth="1"/>
  </x:cols>
  <x:sheetData>
    <x:row r="1" ht="28" customHeight="1">
      <x:c r="A1" s="5" t="str">
        <x:v>SOURCE ET TRAÇABILITÉ</x:v>
      </x:c>
    </x:row>
    <x:row r="2" ht="28" customHeight="1">
      <x:c r="A2" s="14" t="str">
        <x:v>Sources utilisées pour refaire le classeur.</x:v>
      </x:c>
    </x:row>
    <x:row r="4">
      <x:c r="A4" s="74" t="str">
        <x:v>Type</x:v>
      </x:c>
      <x:c r="B4" s="74" t="str">
        <x:v>Source</x:v>
      </x:c>
      <x:c r="C4" s="74" t="str">
        <x:v>Utilisation</x:v>
      </x:c>
    </x:row>
    <x:row r="5">
      <x:c r="A5" s="70" t="str">
        <x:v>Fichier actuel</x:v>
      </x:c>
      <x:c r="B5" s="70" t="str">
        <x:v>tableau_utilisateurs_pas_anbg.xlsx</x:v>
      </x:c>
      <x:c r="C5" s="70" t="str">
        <x:v>Extraction locale déclarée à 86 utilisateurs.</x:v>
      </x:c>
    </x:row>
    <x:row r="6">
      <x:c r="A6" s="70" t="str">
        <x:v>Fichier corrigé précédent</x:v>
      </x:c>
      <x:c r="B6" s="70" t="str">
        <x:v>base_utilisateurs_pas_anbg_structure_corrigee.xlsx</x:v>
      </x:c>
      <x:c r="C6" s="70" t="str">
        <x:v>Version à corriger, qui traitait trop largement le rôle source 'service' comme chef.</x:v>
      </x:c>
    </x:row>
    <x:row r="7">
      <x:c r="A7" s="70" t="str">
        <x:v>Base métier antérieure</x:v>
      </x:c>
      <x:c r="B7" s="70" t="str">
        <x:v>Pasted text.txt — 03/04/2026</x:v>
      </x:c>
      <x:c r="C7" s="70" t="str">
        <x:v>Contient direction_code, service_code, fonction et rôle ; utilisée pour distinguer les vrais chefs.</x:v>
      </x:c>
    </x:row>
    <x:row r="8">
      <x:c r="A8" s="70" t="str">
        <x:v>Consigne utilisateur</x:v>
      </x:c>
      <x:c r="B8" s="70" t="str">
        <x:v>Message du 19/05/2026</x:v>
      </x:c>
      <x:c r="C8" s="70" t="str">
        <x:v>Lignes 3 à 7 = Cabinet du DG ; supprimer 46 et 51 ; chefs seulement si jaune/service + observation.</x:v>
      </x:c>
    </x:row>
    <x:row r="9">
      <x:c r="A9" s="70" t="str">
        <x:v>Date génération</x:v>
      </x:c>
      <x:c r="B9" s="70" t="str">
        <x:v>19/05/2026 12:27</x:v>
      </x:c>
      <x:c r="C9" s="70" t="str"/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cd0ee9c29ee8425b"/>
  </x:tableParts>
</x:worksheet>
</file>